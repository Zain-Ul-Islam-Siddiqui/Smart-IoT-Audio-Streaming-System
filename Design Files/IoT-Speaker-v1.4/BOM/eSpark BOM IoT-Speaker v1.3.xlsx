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IoT-Speaker-v1.3\BOM\"/>
    </mc:Choice>
  </mc:AlternateContent>
  <bookViews>
    <workbookView xWindow="0" yWindow="0" windowWidth="28800" windowHeight="12300"/>
  </bookViews>
  <sheets>
    <sheet name="5 Boards" sheetId="1" r:id="rId1"/>
    <sheet name="100 Boards" sheetId="2" r:id="rId2"/>
    <sheet name="500 Boards" sheetId="3" r:id="rId3"/>
    <sheet name="5000 Boards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2" i="4" l="1"/>
  <c r="Q63" i="4" s="1"/>
  <c r="Q62" i="3"/>
  <c r="Q62" i="2"/>
  <c r="M59" i="4"/>
  <c r="M60" i="4"/>
  <c r="M61" i="4"/>
  <c r="B59" i="4"/>
  <c r="B60" i="4"/>
  <c r="B61" i="4"/>
  <c r="B59" i="2"/>
  <c r="B60" i="2"/>
  <c r="B61" i="2"/>
  <c r="B59" i="3"/>
  <c r="B60" i="3"/>
  <c r="B61" i="3"/>
  <c r="M59" i="3"/>
  <c r="M60" i="3"/>
  <c r="M61" i="3"/>
  <c r="Q63" i="2"/>
  <c r="M59" i="2"/>
  <c r="M60" i="2"/>
  <c r="M61" i="2"/>
  <c r="Q61" i="4"/>
  <c r="Q60" i="4"/>
  <c r="Q59" i="4"/>
  <c r="Q61" i="3"/>
  <c r="Q60" i="3"/>
  <c r="Q59" i="3"/>
  <c r="Q61" i="2"/>
  <c r="Q60" i="2"/>
  <c r="Q59" i="2"/>
  <c r="Q61" i="1"/>
  <c r="Q60" i="1"/>
  <c r="Q59" i="1"/>
  <c r="Q58" i="1"/>
  <c r="M58" i="1"/>
  <c r="M59" i="1"/>
  <c r="M60" i="1"/>
  <c r="B58" i="1"/>
  <c r="B59" i="1"/>
  <c r="B60" i="1"/>
  <c r="Q58" i="4"/>
  <c r="M58" i="4"/>
  <c r="B58" i="4"/>
  <c r="Q57" i="4"/>
  <c r="M57" i="4"/>
  <c r="B57" i="4"/>
  <c r="Q56" i="4"/>
  <c r="M56" i="4"/>
  <c r="B56" i="4"/>
  <c r="Q55" i="4"/>
  <c r="M55" i="4"/>
  <c r="B55" i="4"/>
  <c r="Q54" i="4"/>
  <c r="M54" i="4"/>
  <c r="B54" i="4"/>
  <c r="Q53" i="4"/>
  <c r="M53" i="4"/>
  <c r="B53" i="4"/>
  <c r="Q52" i="4"/>
  <c r="M52" i="4"/>
  <c r="B52" i="4"/>
  <c r="Q51" i="4"/>
  <c r="M51" i="4"/>
  <c r="B51" i="4"/>
  <c r="Q50" i="4"/>
  <c r="M50" i="4"/>
  <c r="B50" i="4"/>
  <c r="Q49" i="4"/>
  <c r="M49" i="4"/>
  <c r="B49" i="4"/>
  <c r="Q48" i="4"/>
  <c r="M48" i="4"/>
  <c r="B48" i="4"/>
  <c r="Q47" i="4"/>
  <c r="M47" i="4"/>
  <c r="B47" i="4"/>
  <c r="Q46" i="4"/>
  <c r="M46" i="4"/>
  <c r="B46" i="4"/>
  <c r="Q45" i="4"/>
  <c r="M45" i="4"/>
  <c r="B45" i="4"/>
  <c r="Q44" i="4"/>
  <c r="M44" i="4"/>
  <c r="B44" i="4"/>
  <c r="Q43" i="4"/>
  <c r="M43" i="4"/>
  <c r="B43" i="4"/>
  <c r="Q42" i="4"/>
  <c r="M42" i="4"/>
  <c r="B42" i="4"/>
  <c r="Q41" i="4"/>
  <c r="M41" i="4"/>
  <c r="B41" i="4"/>
  <c r="Q40" i="4"/>
  <c r="M40" i="4"/>
  <c r="B40" i="4"/>
  <c r="Q39" i="4"/>
  <c r="M39" i="4"/>
  <c r="B39" i="4"/>
  <c r="Q38" i="4"/>
  <c r="M38" i="4"/>
  <c r="B38" i="4"/>
  <c r="Q37" i="4"/>
  <c r="M37" i="4"/>
  <c r="B37" i="4"/>
  <c r="Q36" i="4"/>
  <c r="M36" i="4"/>
  <c r="B36" i="4"/>
  <c r="Q35" i="4"/>
  <c r="M35" i="4"/>
  <c r="B35" i="4"/>
  <c r="Q34" i="4"/>
  <c r="M34" i="4"/>
  <c r="B34" i="4"/>
  <c r="Q33" i="4"/>
  <c r="M33" i="4"/>
  <c r="B33" i="4"/>
  <c r="Q32" i="4"/>
  <c r="M32" i="4"/>
  <c r="B32" i="4"/>
  <c r="Q31" i="4"/>
  <c r="M31" i="4"/>
  <c r="B31" i="4"/>
  <c r="Q30" i="4"/>
  <c r="M30" i="4"/>
  <c r="B30" i="4"/>
  <c r="Q29" i="4"/>
  <c r="M29" i="4"/>
  <c r="B29" i="4"/>
  <c r="Q28" i="4"/>
  <c r="M28" i="4"/>
  <c r="B28" i="4"/>
  <c r="Q27" i="4"/>
  <c r="M27" i="4"/>
  <c r="B27" i="4"/>
  <c r="Q26" i="4"/>
  <c r="M26" i="4"/>
  <c r="B26" i="4"/>
  <c r="Q25" i="4"/>
  <c r="M25" i="4"/>
  <c r="B25" i="4"/>
  <c r="Q24" i="4"/>
  <c r="M24" i="4"/>
  <c r="B24" i="4"/>
  <c r="Q23" i="4"/>
  <c r="M23" i="4"/>
  <c r="B23" i="4"/>
  <c r="Q22" i="4"/>
  <c r="M22" i="4"/>
  <c r="B22" i="4"/>
  <c r="Q21" i="4"/>
  <c r="M21" i="4"/>
  <c r="B21" i="4"/>
  <c r="Q20" i="4"/>
  <c r="M20" i="4"/>
  <c r="B20" i="4"/>
  <c r="Q19" i="4"/>
  <c r="M19" i="4"/>
  <c r="B19" i="4"/>
  <c r="Q18" i="4"/>
  <c r="M18" i="4"/>
  <c r="B18" i="4"/>
  <c r="Q17" i="4"/>
  <c r="M17" i="4"/>
  <c r="B17" i="4"/>
  <c r="Q16" i="4"/>
  <c r="M16" i="4"/>
  <c r="B16" i="4"/>
  <c r="Q15" i="4"/>
  <c r="M15" i="4"/>
  <c r="B15" i="4"/>
  <c r="Q14" i="4"/>
  <c r="M14" i="4"/>
  <c r="B14" i="4"/>
  <c r="Q13" i="4"/>
  <c r="M13" i="4"/>
  <c r="B13" i="4"/>
  <c r="Q12" i="4"/>
  <c r="M12" i="4"/>
  <c r="B12" i="4"/>
  <c r="Q11" i="4"/>
  <c r="M11" i="4"/>
  <c r="B11" i="4"/>
  <c r="Q10" i="4"/>
  <c r="M10" i="4"/>
  <c r="B10" i="4"/>
  <c r="Q63" i="3"/>
  <c r="Q58" i="3"/>
  <c r="M58" i="3"/>
  <c r="B58" i="3"/>
  <c r="Q57" i="3"/>
  <c r="M57" i="3"/>
  <c r="B57" i="3"/>
  <c r="Q56" i="3"/>
  <c r="M56" i="3"/>
  <c r="B56" i="3"/>
  <c r="Q55" i="3"/>
  <c r="M55" i="3"/>
  <c r="B55" i="3"/>
  <c r="Q54" i="3"/>
  <c r="M54" i="3"/>
  <c r="B54" i="3"/>
  <c r="Q53" i="3"/>
  <c r="M53" i="3"/>
  <c r="B53" i="3"/>
  <c r="Q52" i="3"/>
  <c r="M52" i="3"/>
  <c r="B52" i="3"/>
  <c r="Q51" i="3"/>
  <c r="M51" i="3"/>
  <c r="B51" i="3"/>
  <c r="Q50" i="3"/>
  <c r="M50" i="3"/>
  <c r="B50" i="3"/>
  <c r="Q49" i="3"/>
  <c r="M49" i="3"/>
  <c r="B49" i="3"/>
  <c r="Q48" i="3"/>
  <c r="M48" i="3"/>
  <c r="B48" i="3"/>
  <c r="Q47" i="3"/>
  <c r="M47" i="3"/>
  <c r="B47" i="3"/>
  <c r="Q46" i="3"/>
  <c r="M46" i="3"/>
  <c r="B46" i="3"/>
  <c r="Q45" i="3"/>
  <c r="M45" i="3"/>
  <c r="B45" i="3"/>
  <c r="Q44" i="3"/>
  <c r="M44" i="3"/>
  <c r="B44" i="3"/>
  <c r="Q43" i="3"/>
  <c r="M43" i="3"/>
  <c r="B43" i="3"/>
  <c r="Q42" i="3"/>
  <c r="M42" i="3"/>
  <c r="B42" i="3"/>
  <c r="Q41" i="3"/>
  <c r="M41" i="3"/>
  <c r="B41" i="3"/>
  <c r="Q40" i="3"/>
  <c r="M40" i="3"/>
  <c r="B40" i="3"/>
  <c r="Q39" i="3"/>
  <c r="M39" i="3"/>
  <c r="B39" i="3"/>
  <c r="Q38" i="3"/>
  <c r="M38" i="3"/>
  <c r="B38" i="3"/>
  <c r="Q37" i="3"/>
  <c r="M37" i="3"/>
  <c r="B37" i="3"/>
  <c r="Q36" i="3"/>
  <c r="M36" i="3"/>
  <c r="B36" i="3"/>
  <c r="Q35" i="3"/>
  <c r="M35" i="3"/>
  <c r="B35" i="3"/>
  <c r="Q34" i="3"/>
  <c r="M34" i="3"/>
  <c r="B34" i="3"/>
  <c r="Q33" i="3"/>
  <c r="M33" i="3"/>
  <c r="B33" i="3"/>
  <c r="Q32" i="3"/>
  <c r="M32" i="3"/>
  <c r="B32" i="3"/>
  <c r="Q31" i="3"/>
  <c r="M31" i="3"/>
  <c r="B31" i="3"/>
  <c r="Q30" i="3"/>
  <c r="M30" i="3"/>
  <c r="B30" i="3"/>
  <c r="Q29" i="3"/>
  <c r="M29" i="3"/>
  <c r="B29" i="3"/>
  <c r="Q28" i="3"/>
  <c r="M28" i="3"/>
  <c r="B28" i="3"/>
  <c r="Q27" i="3"/>
  <c r="M27" i="3"/>
  <c r="B27" i="3"/>
  <c r="Q26" i="3"/>
  <c r="M26" i="3"/>
  <c r="B26" i="3"/>
  <c r="Q25" i="3"/>
  <c r="M25" i="3"/>
  <c r="B25" i="3"/>
  <c r="Q24" i="3"/>
  <c r="M24" i="3"/>
  <c r="B24" i="3"/>
  <c r="Q23" i="3"/>
  <c r="M23" i="3"/>
  <c r="B23" i="3"/>
  <c r="Q22" i="3"/>
  <c r="M22" i="3"/>
  <c r="B22" i="3"/>
  <c r="Q21" i="3"/>
  <c r="M21" i="3"/>
  <c r="B21" i="3"/>
  <c r="Q20" i="3"/>
  <c r="M20" i="3"/>
  <c r="B20" i="3"/>
  <c r="Q19" i="3"/>
  <c r="M19" i="3"/>
  <c r="B19" i="3"/>
  <c r="Q18" i="3"/>
  <c r="M18" i="3"/>
  <c r="B18" i="3"/>
  <c r="Q17" i="3"/>
  <c r="M17" i="3"/>
  <c r="B17" i="3"/>
  <c r="Q16" i="3"/>
  <c r="M16" i="3"/>
  <c r="B16" i="3"/>
  <c r="Q15" i="3"/>
  <c r="M15" i="3"/>
  <c r="B15" i="3"/>
  <c r="Q14" i="3"/>
  <c r="M14" i="3"/>
  <c r="B14" i="3"/>
  <c r="Q13" i="3"/>
  <c r="M13" i="3"/>
  <c r="B13" i="3"/>
  <c r="Q12" i="3"/>
  <c r="M12" i="3"/>
  <c r="B12" i="3"/>
  <c r="Q11" i="3"/>
  <c r="M11" i="3"/>
  <c r="B11" i="3"/>
  <c r="Q10" i="3"/>
  <c r="M10" i="3"/>
  <c r="B10" i="3"/>
  <c r="Q58" i="2"/>
  <c r="M58" i="2"/>
  <c r="B58" i="2"/>
  <c r="Q57" i="2"/>
  <c r="M57" i="2"/>
  <c r="B57" i="2"/>
  <c r="Q56" i="2"/>
  <c r="M56" i="2"/>
  <c r="B56" i="2"/>
  <c r="Q55" i="2"/>
  <c r="M55" i="2"/>
  <c r="B55" i="2"/>
  <c r="Q54" i="2"/>
  <c r="M54" i="2"/>
  <c r="B54" i="2"/>
  <c r="Q53" i="2"/>
  <c r="M53" i="2"/>
  <c r="B53" i="2"/>
  <c r="Q52" i="2"/>
  <c r="M52" i="2"/>
  <c r="B52" i="2"/>
  <c r="Q51" i="2"/>
  <c r="M51" i="2"/>
  <c r="B51" i="2"/>
  <c r="Q50" i="2"/>
  <c r="M50" i="2"/>
  <c r="B50" i="2"/>
  <c r="Q49" i="2"/>
  <c r="M49" i="2"/>
  <c r="B49" i="2"/>
  <c r="Q48" i="2"/>
  <c r="M48" i="2"/>
  <c r="B48" i="2"/>
  <c r="Q47" i="2"/>
  <c r="M47" i="2"/>
  <c r="B47" i="2"/>
  <c r="Q46" i="2"/>
  <c r="M46" i="2"/>
  <c r="B46" i="2"/>
  <c r="Q45" i="2"/>
  <c r="M45" i="2"/>
  <c r="B45" i="2"/>
  <c r="Q44" i="2"/>
  <c r="M44" i="2"/>
  <c r="B44" i="2"/>
  <c r="Q43" i="2"/>
  <c r="M43" i="2"/>
  <c r="B43" i="2"/>
  <c r="Q42" i="2"/>
  <c r="M42" i="2"/>
  <c r="B42" i="2"/>
  <c r="Q41" i="2"/>
  <c r="M41" i="2"/>
  <c r="B41" i="2"/>
  <c r="Q40" i="2"/>
  <c r="M40" i="2"/>
  <c r="B40" i="2"/>
  <c r="Q39" i="2"/>
  <c r="M39" i="2"/>
  <c r="B39" i="2"/>
  <c r="Q38" i="2"/>
  <c r="M38" i="2"/>
  <c r="B38" i="2"/>
  <c r="Q37" i="2"/>
  <c r="M37" i="2"/>
  <c r="B37" i="2"/>
  <c r="Q36" i="2"/>
  <c r="M36" i="2"/>
  <c r="B36" i="2"/>
  <c r="Q35" i="2"/>
  <c r="M35" i="2"/>
  <c r="B35" i="2"/>
  <c r="Q34" i="2"/>
  <c r="M34" i="2"/>
  <c r="B34" i="2"/>
  <c r="Q33" i="2"/>
  <c r="M33" i="2"/>
  <c r="B33" i="2"/>
  <c r="Q32" i="2"/>
  <c r="M32" i="2"/>
  <c r="B32" i="2"/>
  <c r="Q31" i="2"/>
  <c r="M31" i="2"/>
  <c r="B31" i="2"/>
  <c r="Q30" i="2"/>
  <c r="M30" i="2"/>
  <c r="B30" i="2"/>
  <c r="Q29" i="2"/>
  <c r="M29" i="2"/>
  <c r="B29" i="2"/>
  <c r="Q28" i="2"/>
  <c r="M28" i="2"/>
  <c r="B28" i="2"/>
  <c r="Q27" i="2"/>
  <c r="M27" i="2"/>
  <c r="B27" i="2"/>
  <c r="Q26" i="2"/>
  <c r="M26" i="2"/>
  <c r="B26" i="2"/>
  <c r="Q25" i="2"/>
  <c r="M25" i="2"/>
  <c r="B25" i="2"/>
  <c r="Q24" i="2"/>
  <c r="M24" i="2"/>
  <c r="B24" i="2"/>
  <c r="Q23" i="2"/>
  <c r="M23" i="2"/>
  <c r="B23" i="2"/>
  <c r="Q22" i="2"/>
  <c r="M22" i="2"/>
  <c r="B22" i="2"/>
  <c r="Q21" i="2"/>
  <c r="M21" i="2"/>
  <c r="B21" i="2"/>
  <c r="Q20" i="2"/>
  <c r="M20" i="2"/>
  <c r="B20" i="2"/>
  <c r="Q19" i="2"/>
  <c r="M19" i="2"/>
  <c r="B19" i="2"/>
  <c r="Q18" i="2"/>
  <c r="M18" i="2"/>
  <c r="B18" i="2"/>
  <c r="Q17" i="2"/>
  <c r="M17" i="2"/>
  <c r="B17" i="2"/>
  <c r="Q16" i="2"/>
  <c r="M16" i="2"/>
  <c r="B16" i="2"/>
  <c r="Q15" i="2"/>
  <c r="M15" i="2"/>
  <c r="B15" i="2"/>
  <c r="Q14" i="2"/>
  <c r="M14" i="2"/>
  <c r="B14" i="2"/>
  <c r="Q13" i="2"/>
  <c r="M13" i="2"/>
  <c r="B13" i="2"/>
  <c r="Q12" i="2"/>
  <c r="M12" i="2"/>
  <c r="B12" i="2"/>
  <c r="Q11" i="2"/>
  <c r="M11" i="2"/>
  <c r="B11" i="2"/>
  <c r="Q10" i="2"/>
  <c r="M10" i="2"/>
  <c r="B10" i="2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62" i="1" l="1"/>
</calcChain>
</file>

<file path=xl/sharedStrings.xml><?xml version="1.0" encoding="utf-8"?>
<sst xmlns="http://schemas.openxmlformats.org/spreadsheetml/2006/main" count="2159" uniqueCount="339">
  <si>
    <t>Component list</t>
  </si>
  <si>
    <t>Bill of Materials for Project [IoT-Speaker v1.3]</t>
  </si>
  <si>
    <t>Source Data From:</t>
  </si>
  <si>
    <t>IoT-Speaker v1.3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</si>
  <si>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</si>
  <si>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</si>
  <si>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</si>
  <si>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</si>
  <si>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</si>
  <si>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</si>
  <si>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</si>
  <si>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</si>
  <si>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</si>
  <si>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</si>
  <si>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</si>
  <si>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</si>
  <si>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</si>
  <si>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</si>
  <si>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</si>
  <si>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</si>
  <si>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</si>
  <si>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</si>
  <si>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</si>
  <si>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</si>
  <si>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</si>
  <si>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Capacitor</t>
  </si>
  <si>
    <t>C1, C5, C6, C13, C16, C103</t>
  </si>
  <si>
    <t>CAP CER 10UF 25V X5R 0805</t>
  </si>
  <si>
    <t>Cap-0805</t>
  </si>
  <si>
    <t>CC0805KKX5R8BB106</t>
  </si>
  <si>
    <t>Yageo</t>
  </si>
  <si>
    <t>-</t>
  </si>
  <si>
    <t>C89831</t>
  </si>
  <si>
    <t>10uF</t>
  </si>
  <si>
    <t>LCSC</t>
  </si>
  <si>
    <t>C2, C3, C7, C9, C15, C17, C18, C19, C20, C21, C22, C24, C78, C83</t>
  </si>
  <si>
    <t>CAP CER 0.1UF 25V X5R 0402</t>
  </si>
  <si>
    <t>Cap-0402</t>
  </si>
  <si>
    <t>CC0402KRX5R8BB104</t>
  </si>
  <si>
    <t>C106256</t>
  </si>
  <si>
    <t>100nF</t>
  </si>
  <si>
    <t>C4, C12, C76</t>
  </si>
  <si>
    <t>CAP CER 10000PF 50V C0G/NPO 0603</t>
  </si>
  <si>
    <t>Cap-0603</t>
  </si>
  <si>
    <t>CC0603JRNPO9BN103</t>
  </si>
  <si>
    <t>C389113</t>
  </si>
  <si>
    <t>10nF</t>
  </si>
  <si>
    <t>C10, C11</t>
  </si>
  <si>
    <t>CAP CER 220PF 50V C0G/NPO 0402</t>
  </si>
  <si>
    <t>CC0402JRNPO9BN221</t>
  </si>
  <si>
    <t>C107001</t>
  </si>
  <si>
    <t>220pF</t>
  </si>
  <si>
    <t>C14, C74, C75, C102</t>
  </si>
  <si>
    <t>CAP CER 1UF 25V X5R 0603</t>
  </si>
  <si>
    <t>CC0603KRX5R8BB105</t>
  </si>
  <si>
    <t>C14664</t>
  </si>
  <si>
    <t>1uF</t>
  </si>
  <si>
    <t>C23, C25, C26, C77</t>
  </si>
  <si>
    <t>CAP CER 22UF 10V X5R 0603</t>
  </si>
  <si>
    <t>CC0603MRX5R6BB226</t>
  </si>
  <si>
    <t>C109447</t>
  </si>
  <si>
    <t>22uF</t>
  </si>
  <si>
    <t>C79</t>
  </si>
  <si>
    <t>CAP CER 4700PF 1KV X7R 1206</t>
  </si>
  <si>
    <t>Cap-1206</t>
  </si>
  <si>
    <t>CC1206KKX7RCBB472</t>
  </si>
  <si>
    <t>C107198</t>
  </si>
  <si>
    <t>4.7nF</t>
  </si>
  <si>
    <t>Diode</t>
  </si>
  <si>
    <t>D1</t>
  </si>
  <si>
    <t>TVS DIODE 5VWM 6.3VC DSN0603-2</t>
  </si>
  <si>
    <t>DSN0603-2</t>
  </si>
  <si>
    <t>PESD5V0H1BSFYL</t>
  </si>
  <si>
    <t>Nexperia</t>
  </si>
  <si>
    <t>C477989</t>
  </si>
  <si>
    <t>D2</t>
  </si>
  <si>
    <t>DIODE ZENER 3.3V 200MW SOD323F</t>
  </si>
  <si>
    <t>SOD323F</t>
  </si>
  <si>
    <t>MM3Z3V3B</t>
  </si>
  <si>
    <t>ON Semiconductor / Fairchild</t>
  </si>
  <si>
    <t>C2978865</t>
  </si>
  <si>
    <t>Fuse</t>
  </si>
  <si>
    <t>F1</t>
  </si>
  <si>
    <t>6V 2A 50A 1W -40℃~+85℃ 4A 4mΩ 5s 45mΩ 0805 Resettable Fuses ROHS</t>
  </si>
  <si>
    <t>Fuse-0805</t>
  </si>
  <si>
    <t>BSMD0805L-200</t>
  </si>
  <si>
    <t>BHFUSE</t>
  </si>
  <si>
    <t>C2757931</t>
  </si>
  <si>
    <t>Ferrite Bead</t>
  </si>
  <si>
    <t>FB1, FB2, FB3</t>
  </si>
  <si>
    <t>FERRITE BEAD 30 OHM 0603 1LN / Ferrite Beads Multi-Layer 30Ohm 100MHz 1A 0.05Ohm DCR 0603 T/R</t>
  </si>
  <si>
    <t>IND-0603 (1608 Metric)</t>
  </si>
  <si>
    <t>BLM18PG300SN1D</t>
  </si>
  <si>
    <t>Murata</t>
  </si>
  <si>
    <t>C17305</t>
  </si>
  <si>
    <t>FB7</t>
  </si>
  <si>
    <t>FERRITE BEAD 120 OHM 1206 1LN</t>
  </si>
  <si>
    <t>IND-1206</t>
  </si>
  <si>
    <t>BLM31PG121SN1L</t>
  </si>
  <si>
    <t>C85841</t>
  </si>
  <si>
    <t>100MHz</t>
  </si>
  <si>
    <t>JST Connector</t>
  </si>
  <si>
    <t>J1</t>
  </si>
  <si>
    <t>Conn Shrouded Header (4 Sides) HDR 2 POS 2.5mm Solder ST Thru-Hole Box</t>
  </si>
  <si>
    <t>B2B-XH-A(LF)(SN)_</t>
  </si>
  <si>
    <t>B2B-XH-A(LF)(SN)</t>
  </si>
  <si>
    <t>JST</t>
  </si>
  <si>
    <t>C158012</t>
  </si>
  <si>
    <t>USB Connector</t>
  </si>
  <si>
    <t>J2</t>
  </si>
  <si>
    <t>250mA 1 16 Female Type-C SMD USB Connectors ROHS</t>
  </si>
  <si>
    <t>TYPE-C-31-M-12_</t>
  </si>
  <si>
    <t>TYPE-C-31-M-12</t>
  </si>
  <si>
    <t>Korean Hroparts Elec</t>
  </si>
  <si>
    <t>C165948</t>
  </si>
  <si>
    <t>Connector</t>
  </si>
  <si>
    <t>J3</t>
  </si>
  <si>
    <t>1x6P SH 1 1mm 6 SMD,P=1mm Wire To Board / Wire To Wire Connector ROHS</t>
  </si>
  <si>
    <t>Voltlink Target</t>
  </si>
  <si>
    <t>C145963</t>
  </si>
  <si>
    <t>BOOMELE</t>
  </si>
  <si>
    <t>Header</t>
  </si>
  <si>
    <t>J9</t>
  </si>
  <si>
    <t>CONN HEADER VERT 2POS 2.54MM</t>
  </si>
  <si>
    <t>HDR1X2_</t>
  </si>
  <si>
    <t>Wurth Electronics</t>
  </si>
  <si>
    <t>B-2100S02P-A110</t>
  </si>
  <si>
    <t>C124375</t>
  </si>
  <si>
    <t>INductor</t>
  </si>
  <si>
    <t>L1</t>
  </si>
  <si>
    <t>5.15A 1uH ±30% SMD Power Inductors ROHS</t>
  </si>
  <si>
    <t>MPIT6045-1R0N-LF</t>
  </si>
  <si>
    <t>microgate</t>
  </si>
  <si>
    <t>C486570</t>
  </si>
  <si>
    <t>1uH</t>
  </si>
  <si>
    <t>Inductor</t>
  </si>
  <si>
    <t>L2, L3</t>
  </si>
  <si>
    <t>FIXED IND 33UH 500MA 275MOHM SMD</t>
  </si>
  <si>
    <t>VLCF5024T-330MR50-2</t>
  </si>
  <si>
    <t>TDK</t>
  </si>
  <si>
    <t>C2046704</t>
  </si>
  <si>
    <t>33uH</t>
  </si>
  <si>
    <t>LED</t>
  </si>
  <si>
    <t>LED2</t>
  </si>
  <si>
    <t>0603 Light Emitting Diodes (LED) ROHS</t>
  </si>
  <si>
    <t>LED-0603</t>
  </si>
  <si>
    <t>NCD0603R3</t>
  </si>
  <si>
    <t>Foshan NationStar Optoelectronics</t>
  </si>
  <si>
    <t>C3151730</t>
  </si>
  <si>
    <t>RGB LED</t>
  </si>
  <si>
    <t>LED3, LED4, LED5</t>
  </si>
  <si>
    <t>SMD5050 Light Emitting Diodes (LED) ROHS</t>
  </si>
  <si>
    <t>WS2812B-XF02/W</t>
  </si>
  <si>
    <t>Worldsemi</t>
  </si>
  <si>
    <t>C4154882</t>
  </si>
  <si>
    <t>Mosfet</t>
  </si>
  <si>
    <t>Q1</t>
  </si>
  <si>
    <t>30V 4.1A 60mΩ@10V,4.1A 350mW 3V@250uA P Channel SOT-23 MOSFETs ROHS</t>
  </si>
  <si>
    <t>SOT-23</t>
  </si>
  <si>
    <t>AO3407</t>
  </si>
  <si>
    <t>Guangdong Hottech</t>
  </si>
  <si>
    <t>C181093</t>
  </si>
  <si>
    <t>Q2, Q3</t>
  </si>
  <si>
    <t>40V 100mW 100@10mA,1V 200mA 300MHz 300mV@50mA,5mA NPN -55℃~+150℃@(Tj) SOT-723 Bipolar Transistors - BJT ROHS</t>
  </si>
  <si>
    <t>SOT-723</t>
  </si>
  <si>
    <t>MMBT3904M</t>
  </si>
  <si>
    <t>TECH PUBLIC</t>
  </si>
  <si>
    <t>C2923360</t>
  </si>
  <si>
    <t>Q6</t>
  </si>
  <si>
    <t>N-CHANNEL 20-V (D-S) MOSFET</t>
  </si>
  <si>
    <t>Sot-23</t>
  </si>
  <si>
    <t>SI2302CDS</t>
  </si>
  <si>
    <t>C5310968</t>
  </si>
  <si>
    <t>Resistor</t>
  </si>
  <si>
    <t>R1, R2</t>
  </si>
  <si>
    <t>RES 5.1K OHM 1% 1/10W 0603</t>
  </si>
  <si>
    <t>Res-0603</t>
  </si>
  <si>
    <t>RC0603FR-075K1L</t>
  </si>
  <si>
    <t>C105580</t>
  </si>
  <si>
    <t>5.1K</t>
  </si>
  <si>
    <t>R4</t>
  </si>
  <si>
    <t>RES  SMD 330R 100 mW 0603</t>
  </si>
  <si>
    <t>RC0603JR-07330RL</t>
  </si>
  <si>
    <t>C105879</t>
  </si>
  <si>
    <t>330R</t>
  </si>
  <si>
    <t>R5</t>
  </si>
  <si>
    <t>Thick Film Resistors 75V 1.2kΩ 0603 Chip Resistor - Surface Mount ROHS</t>
  </si>
  <si>
    <t>0603WAF1201T5E</t>
  </si>
  <si>
    <t>UNI-ROYAL</t>
  </si>
  <si>
    <t>C22765</t>
  </si>
  <si>
    <t>1.2K</t>
  </si>
  <si>
    <t>R6, R18, R19, R20, R21, R22</t>
  </si>
  <si>
    <t>RES SMD 10K Ohm 1% 1/10W 0603</t>
  </si>
  <si>
    <t>RC0603FR-0710KL</t>
  </si>
  <si>
    <t>C98220</t>
  </si>
  <si>
    <t>10K</t>
  </si>
  <si>
    <t>R7</t>
  </si>
  <si>
    <t>±1% 732kΩ 0402 Chip Resistor - Surface Mount ROHS</t>
  </si>
  <si>
    <t>Res-0402</t>
  </si>
  <si>
    <t>FRC0402F7323TS</t>
  </si>
  <si>
    <t>FOJAN</t>
  </si>
  <si>
    <t>C5159692</t>
  </si>
  <si>
    <t>732K</t>
  </si>
  <si>
    <t>R8, R66, R67</t>
  </si>
  <si>
    <t>RES SMD 100K OHM 0.1% 1/10W 0603</t>
  </si>
  <si>
    <t>RT0603BRD07100KL</t>
  </si>
  <si>
    <t>C122538</t>
  </si>
  <si>
    <t>100K</t>
  </si>
  <si>
    <t>R9, R12, R54</t>
  </si>
  <si>
    <t>RES 47K OHM 5% 1/10W 0603</t>
  </si>
  <si>
    <t>RC0603JR-0747KL</t>
  </si>
  <si>
    <t>C127447</t>
  </si>
  <si>
    <t>47K</t>
  </si>
  <si>
    <t>R10, R11, R56</t>
  </si>
  <si>
    <t>RES SMD 4.7K OHM 5% 1/10W 0603</t>
  </si>
  <si>
    <t>RC0603JR-074K7L</t>
  </si>
  <si>
    <t>C105428</t>
  </si>
  <si>
    <t>4.7K</t>
  </si>
  <si>
    <t>R26, R27</t>
  </si>
  <si>
    <t>RES 10K OHM 1% 1/16W 0402</t>
  </si>
  <si>
    <t>RC0402FR-0710KL</t>
  </si>
  <si>
    <t>C60490</t>
  </si>
  <si>
    <t>R28, R55</t>
  </si>
  <si>
    <t>RES SMD 1K OHM 1% 1/10W 0603</t>
  </si>
  <si>
    <t>RC0603FR-071KL</t>
  </si>
  <si>
    <t>C22548</t>
  </si>
  <si>
    <t>1K</t>
  </si>
  <si>
    <t>R30, R32, R35, R39</t>
  </si>
  <si>
    <t>RES SMD 0R, 1%, 0.1W, 0603</t>
  </si>
  <si>
    <t>RC0603FR-070RL</t>
  </si>
  <si>
    <t>0603WAF0000T5E</t>
  </si>
  <si>
    <t>C21189</t>
  </si>
  <si>
    <t>0R</t>
  </si>
  <si>
    <t>R65, R69</t>
  </si>
  <si>
    <t>RES SMD 1M OHM 1% 1/10W 0603</t>
  </si>
  <si>
    <t>RC0603FR-071ML</t>
  </si>
  <si>
    <t>C105578</t>
  </si>
  <si>
    <t>1M</t>
  </si>
  <si>
    <t>Switch</t>
  </si>
  <si>
    <t>SW1</t>
  </si>
  <si>
    <t>No NO 50mA 4.5mm 100000 260gf 12V -30℃~+85℃ 4.5mm 4.3mm Black Round Button Brick nogging SPST SMD Tactile Switches ROHS</t>
  </si>
  <si>
    <t>TS-1109S-C-B</t>
  </si>
  <si>
    <t>XKB Connectivity</t>
  </si>
  <si>
    <t>C381037</t>
  </si>
  <si>
    <t>Tactile Switch</t>
  </si>
  <si>
    <t>SW4, SW5, SW6, SW8</t>
  </si>
  <si>
    <t>Plugin-4P,7.7x3.5mm Tactile Switches ROHS</t>
  </si>
  <si>
    <t>TS-1087E-B3D2</t>
  </si>
  <si>
    <t>Yuandi</t>
  </si>
  <si>
    <t>SW7</t>
  </si>
  <si>
    <t>No NO 50mA 4.5mm 100000 160gf 12V -30℃~+85℃ 4.5mm 8mm Black Round Button Brick nogging SPST SMD Tactile Switches ROHS</t>
  </si>
  <si>
    <t>TS-1109S-B-J_</t>
  </si>
  <si>
    <t>TS-1109S-B-J</t>
  </si>
  <si>
    <t>C480323</t>
  </si>
  <si>
    <t>U1</t>
  </si>
  <si>
    <t>ESOP-8 Battery Management ICs ROHS</t>
  </si>
  <si>
    <t>ESOP-8</t>
  </si>
  <si>
    <t>TP4056-42-ESOP8</t>
  </si>
  <si>
    <t>TOPPOWER</t>
  </si>
  <si>
    <t>C16581</t>
  </si>
  <si>
    <t>IC</t>
  </si>
  <si>
    <t>U2</t>
  </si>
  <si>
    <t>OR Controller N+1 ORing Controller N-Channel 2:1 SOT-583</t>
  </si>
  <si>
    <t>SOT-583</t>
  </si>
  <si>
    <t>LM66200DRLR</t>
  </si>
  <si>
    <t>Texas Instruments</t>
  </si>
  <si>
    <t>C3235556</t>
  </si>
  <si>
    <t>U3</t>
  </si>
  <si>
    <t>8-A boost converter with 0.5-V ultra-low input voltage 7-VQFN-HR -40 to 125</t>
  </si>
  <si>
    <t>7-VQFN-HR (2x2)</t>
  </si>
  <si>
    <t>TPS61022RWUR</t>
  </si>
  <si>
    <t>C915088</t>
  </si>
  <si>
    <t>Module</t>
  </si>
  <si>
    <t>U4</t>
  </si>
  <si>
    <t>RF TXRX MODULE BT PCB TRACE SMD</t>
  </si>
  <si>
    <t>38-SMD Module</t>
  </si>
  <si>
    <t>ESP32-WROOM-32E-N8R2</t>
  </si>
  <si>
    <t>Espressif Systems</t>
  </si>
  <si>
    <t>C5361945</t>
  </si>
  <si>
    <t>U7</t>
  </si>
  <si>
    <t>SPX3819 Series 3.3 V 500 mA Fixed Output SMT LDO Regulator - SOT-23-5</t>
  </si>
  <si>
    <t>SOT-23-5</t>
  </si>
  <si>
    <t>SPX3819M5-L-3-3/TR</t>
  </si>
  <si>
    <t>MaxLinear</t>
  </si>
  <si>
    <t>C9055</t>
  </si>
  <si>
    <t>U8</t>
  </si>
  <si>
    <t>IC CNTRLR ON/OFF W/DEB TSOT23-6</t>
  </si>
  <si>
    <t>TSOT-23-6</t>
  </si>
  <si>
    <t>MAX16054AZT+T</t>
  </si>
  <si>
    <t>Maxim</t>
  </si>
  <si>
    <t>C79401</t>
  </si>
  <si>
    <t>U16</t>
  </si>
  <si>
    <t>Audio Amplifier, 1 Func, PQCC16</t>
  </si>
  <si>
    <t>TQFN-16-EP(3x3)</t>
  </si>
  <si>
    <t>MAX98357AETE+T</t>
  </si>
  <si>
    <t>C910544</t>
  </si>
  <si>
    <t>Speaker</t>
  </si>
  <si>
    <t>Peripheral</t>
  </si>
  <si>
    <t>Speakers ROHS</t>
  </si>
  <si>
    <t>FS40DS0430-H18.8</t>
  </si>
  <si>
    <t>C969979</t>
  </si>
  <si>
    <t>Battery</t>
  </si>
  <si>
    <t>803450 3.7V 1500mAh Lithium Polymer Rechargeable Battery For MP3 GPS Massager Camera Power Bank Laptop Speaker Lipo Li ion Cell</t>
  </si>
  <si>
    <t>Aliexpress</t>
  </si>
  <si>
    <t>Charger</t>
  </si>
  <si>
    <t>Universal 5V 1A 2A Type C USB Charger Mobile Phone Wall Travel Power Adapter Charger EU/US Plug For Huawei Xiaomi iPhone Samsung (2A Rating Selected)</t>
  </si>
  <si>
    <t xml:space="preserve">Total Component Cost </t>
  </si>
  <si>
    <t>Single Board Cost</t>
  </si>
  <si>
    <t>Quantity (100 Boards)</t>
  </si>
  <si>
    <t>MOQ (100 Boards)</t>
  </si>
  <si>
    <t>Unit Cost (100 Boards)</t>
  </si>
  <si>
    <t>Total Cost (100 Boards)</t>
  </si>
  <si>
    <t>Custom</t>
  </si>
  <si>
    <t>R23, R24, R25, R33</t>
  </si>
  <si>
    <t>RES SMD 68 OHM 0.1% 1/16W 0402</t>
  </si>
  <si>
    <t>ERA-2AEB680X</t>
  </si>
  <si>
    <t>Panasonic</t>
  </si>
  <si>
    <t>RT0402BRD0768RL</t>
  </si>
  <si>
    <t>C445573</t>
  </si>
  <si>
    <t>68R</t>
  </si>
  <si>
    <t>SWITCH TACTILE SPST-NO 0.05A 12V</t>
  </si>
  <si>
    <t>TL1260GQRBLK</t>
  </si>
  <si>
    <t>E-Switch</t>
  </si>
  <si>
    <t>Chipmall</t>
  </si>
  <si>
    <t>Quantity (500 Boards)</t>
  </si>
  <si>
    <t>MOQ (500 Boards)</t>
  </si>
  <si>
    <t>Unit Cost (500 Boards)</t>
  </si>
  <si>
    <t>Total Cost (500 Boards)</t>
  </si>
  <si>
    <t>Quantity (5000 Boards)</t>
  </si>
  <si>
    <t>MOQ (5000 Boards)</t>
  </si>
  <si>
    <t>Unit Cost (5000 Boards)</t>
  </si>
  <si>
    <t>Total Cost (5000 Boards)</t>
  </si>
  <si>
    <t>Screw</t>
  </si>
  <si>
    <t>M2 Thread Length 16mm/ Head Dia 4mm</t>
  </si>
  <si>
    <t>M2 (16mm)</t>
  </si>
  <si>
    <t>M3 Thread Length 20mm/ Head Dia 5.6mm</t>
  </si>
  <si>
    <t>M3 (20mm)</t>
  </si>
  <si>
    <t>M Thread Length 4mm/ Head Dia 5.6mm</t>
  </si>
  <si>
    <t>M3 (4mm)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</si>
</sst>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8" formatCode="[$-409]h:mm:ss\ AM/PM;@"/>
    <numFmt numFmtId="169" formatCode="&quot;$&quot;#,##0.0000"/>
    <numFmt numFmtId="170" formatCode="&quot;$&quot;#,##0.00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z val="10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color indexed="13"/>
      <name val="Arial"/>
      <charset val="134"/>
    </font>
    <font>
      <u/>
      <sz val="11"/>
      <color rgb="FF800080"/>
      <name val="Calibri"/>
      <charset val="134"/>
      <scheme val="minor"/>
    </font>
    <font>
      <b/>
      <sz val="1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68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7" fillId="4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19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9" fillId="3" borderId="12" xfId="0" applyFont="1" applyFill="1" applyBorder="1" applyAlignment="1" applyProtection="1">
      <alignment horizontal="center" vertical="top"/>
      <protection locked="0"/>
    </xf>
    <xf numFmtId="0" fontId="9" fillId="3" borderId="13" xfId="0" applyFont="1" applyFill="1" applyBorder="1" applyAlignment="1" applyProtection="1">
      <alignment horizontal="center" vertical="top"/>
      <protection locked="0"/>
    </xf>
    <xf numFmtId="0" fontId="7" fillId="3" borderId="13" xfId="0" applyFont="1" applyFill="1" applyBorder="1" applyAlignment="1" applyProtection="1">
      <alignment horizontal="left" vertical="top"/>
      <protection locked="0"/>
    </xf>
    <xf numFmtId="0" fontId="19" fillId="3" borderId="13" xfId="0" applyFont="1" applyFill="1" applyBorder="1" applyAlignment="1" applyProtection="1">
      <alignment horizontal="left" vertical="top"/>
      <protection locked="0"/>
    </xf>
    <xf numFmtId="0" fontId="20" fillId="2" borderId="10" xfId="0" applyFont="1" applyFill="1" applyBorder="1" applyAlignment="1">
      <alignment horizontal="center" vertical="center" wrapText="1"/>
    </xf>
    <xf numFmtId="0" fontId="21" fillId="2" borderId="11" xfId="1" applyFill="1" applyBorder="1" applyAlignment="1">
      <alignment horizontal="center" vertical="center" wrapText="1"/>
    </xf>
    <xf numFmtId="169" fontId="17" fillId="2" borderId="11" xfId="0" applyNumberFormat="1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1" fillId="2" borderId="10" xfId="1" applyFill="1" applyBorder="1" applyAlignment="1">
      <alignment horizontal="center" vertical="center" wrapText="1"/>
    </xf>
    <xf numFmtId="169" fontId="17" fillId="2" borderId="10" xfId="0" applyNumberFormat="1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vertical="center"/>
    </xf>
    <xf numFmtId="0" fontId="20" fillId="2" borderId="10" xfId="0" applyFont="1" applyFill="1" applyBorder="1" applyAlignment="1">
      <alignment horizont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170" fontId="4" fillId="3" borderId="9" xfId="0" applyNumberFormat="1" applyFont="1" applyFill="1" applyBorder="1" applyAlignment="1">
      <alignment horizontal="center" vertical="center" wrapText="1"/>
    </xf>
    <xf numFmtId="170" fontId="4" fillId="3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2" borderId="6" xfId="0" applyFont="1" applyFill="1" applyBorder="1" applyAlignment="1">
      <alignment horizontal="center" vertical="center" wrapText="1"/>
    </xf>
    <xf numFmtId="0" fontId="24" fillId="2" borderId="10" xfId="1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/>
    </xf>
    <xf numFmtId="0" fontId="4" fillId="3" borderId="4" xfId="0" quotePrefix="1" applyFont="1" applyFill="1" applyBorder="1" applyAlignment="1">
      <alignment vertical="center"/>
    </xf>
    <xf numFmtId="0" fontId="7" fillId="3" borderId="6" xfId="0" quotePrefix="1" applyFont="1" applyFill="1" applyBorder="1" applyAlignment="1">
      <alignment horizontal="left"/>
    </xf>
    <xf numFmtId="0" fontId="7" fillId="3" borderId="7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2" fillId="3" borderId="14" xfId="0" applyFont="1" applyFill="1" applyBorder="1" applyAlignment="1" applyProtection="1">
      <alignment horizontal="center" vertical="top"/>
      <protection locked="0"/>
    </xf>
    <xf numFmtId="0" fontId="22" fillId="3" borderId="4" xfId="0" applyFont="1" applyFill="1" applyBorder="1" applyAlignment="1" applyProtection="1">
      <alignment horizontal="center" vertical="top"/>
      <protection locked="0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5" fillId="3" borderId="0" xfId="0" applyFont="1" applyFill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25" fillId="2" borderId="19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25" fillId="2" borderId="23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7" fillId="4" borderId="11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21" fillId="2" borderId="10" xfId="1" applyFill="1" applyBorder="1" applyAlignment="1">
      <alignment horizontal="center" vertical="center"/>
    </xf>
    <xf numFmtId="169" fontId="17" fillId="2" borderId="11" xfId="0" applyNumberFormat="1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0" fillId="0" borderId="0" xfId="0" applyAlignment="1"/>
    <xf numFmtId="0" fontId="25" fillId="2" borderId="23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25" fillId="2" borderId="21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802725" y="619760"/>
          <a:ext cx="1714500" cy="1104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212050" y="619760"/>
          <a:ext cx="1714500" cy="11042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926175" y="619760"/>
          <a:ext cx="1714500" cy="11042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69075" y="619760"/>
          <a:ext cx="1714500" cy="1104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ESD-Protection-Devices_Nexperia-PESD5V0H1BSF_C477989.html" TargetMode="External"/><Relationship Id="rId18" Type="http://schemas.openxmlformats.org/officeDocument/2006/relationships/hyperlink" Target="https://www.lcsc.com/product-detail/span-style-background-color-ff0-Pin-span-Headers_Ckmtw-Shenzhen-Cankemeng-B-2100S02P-A110_C124375.html" TargetMode="External"/><Relationship Id="rId26" Type="http://schemas.openxmlformats.org/officeDocument/2006/relationships/hyperlink" Target="https://www.lcsc.com/product-detail/Chip-Resistor-Surface-Mount_YAGEO-RC0603FR-0710KL_C98220.html" TargetMode="External"/><Relationship Id="rId39" Type="http://schemas.openxmlformats.org/officeDocument/2006/relationships/hyperlink" Target="https://www.lcsc.com/product-detail/Tactile-Switches_Yuandi-TS-1087E-B3D2_C541963.html" TargetMode="External"/><Relationship Id="rId21" Type="http://schemas.openxmlformats.org/officeDocument/2006/relationships/hyperlink" Target="https://www.lcsc.com/product-detail/Light-Emitting-Diodes-LED_Worldsemi-WS2812B-XF02-W_C4154882.html" TargetMode="External"/><Relationship Id="rId34" Type="http://schemas.openxmlformats.org/officeDocument/2006/relationships/hyperlink" Target="https://www.lcsc.com/product-detail/Tactile-Switches_XKB-Connectivity-TS-1109S-C-B_C381037.html" TargetMode="External"/><Relationship Id="rId42" Type="http://schemas.openxmlformats.org/officeDocument/2006/relationships/hyperlink" Target="https://www.lcsc.com/product-detail/Chip-Resistor-Surface-Mount_UNI-ROYAL-Uniroyal-Elec-0603WAF0000T5E_C21189.html" TargetMode="External"/><Relationship Id="rId47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50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7" Type="http://schemas.openxmlformats.org/officeDocument/2006/relationships/hyperlink" Target="https://www.lcsc.com/product-detail/Multilayer-Ceramic-Capacitors-MLCC-SMD-SMT_YAGEO-CC0603KRX5R8BB105_C14664.html" TargetMode="External"/><Relationship Id="rId2" Type="http://schemas.openxmlformats.org/officeDocument/2006/relationships/hyperlink" Target="https://vi.aliexpress.com/item/1005005257036835.html" TargetMode="External"/><Relationship Id="rId16" Type="http://schemas.openxmlformats.org/officeDocument/2006/relationships/hyperlink" Target="https://www.lcsc.com/product-detail/Power-Inductors_microgate-MPIT6045-1R0N-LF_C486570.html" TargetMode="External"/><Relationship Id="rId29" Type="http://schemas.openxmlformats.org/officeDocument/2006/relationships/hyperlink" Target="https://www.lcsc.com/product-detail/Chip-Resistor-Surface-Mount_UNI-ROYAL-Uniroyal-Elec-0603WAF1201T5E_C22765.html" TargetMode="External"/><Relationship Id="rId11" Type="http://schemas.openxmlformats.org/officeDocument/2006/relationships/hyperlink" Target="https://www.lcsc.com/product-detail/Wire-To-Board-Wire-To-Wire-Connector_JST-Sales-America-B2B-XH-A-LF-SN_C158012.html" TargetMode="External"/><Relationship Id="rId24" Type="http://schemas.openxmlformats.org/officeDocument/2006/relationships/hyperlink" Target="https://www.lcsc.com/product-detail/Chip-Resistor-Surface-Mount_YAGEO-RC0603FR-075K1L_C105580.html" TargetMode="External"/><Relationship Id="rId32" Type="http://schemas.openxmlformats.org/officeDocument/2006/relationships/hyperlink" Target="https://www.lcsc.com/product-detail/Chip-Resistor-Surface-Mount_YAGEO-RT0603BRD07100KL_C122538.html" TargetMode="External"/><Relationship Id="rId37" Type="http://schemas.openxmlformats.org/officeDocument/2006/relationships/hyperlink" Target="https://www.lcsc.com/product-detail/Power-Distribution-Switches_Texas-Instruments-LM66200DRLR_C3235556.html" TargetMode="External"/><Relationship Id="rId40" Type="http://schemas.openxmlformats.org/officeDocument/2006/relationships/hyperlink" Target="https://www.lcsc.com/product-detail/Chip-Resistor-Surface-Mount_YAGEO-RC0603FR-071ML_C105578.html" TargetMode="External"/><Relationship Id="rId45" Type="http://schemas.openxmlformats.org/officeDocument/2006/relationships/hyperlink" Target="https://www.lcsc.com/product-detail/Interface-Specialized_Analog-Devices-MAX16054AZT-T_C79401.html" TargetMode="External"/><Relationship Id="rId5" Type="http://schemas.openxmlformats.org/officeDocument/2006/relationships/hyperlink" Target="https://www.lcsc.com/product-detail/Multilayer-Ceramic-Capacitors-MLCC-SMD-SMT_YAGEO-CC0805KKX5R8BB106_C89831.html" TargetMode="External"/><Relationship Id="rId15" Type="http://schemas.openxmlformats.org/officeDocument/2006/relationships/hyperlink" Target="https://www.lcsc.com/product-detail/Ferrite-Beads_Murata-Electronics-BLM31PG121SN1L_C85841.html" TargetMode="External"/><Relationship Id="rId23" Type="http://schemas.openxmlformats.org/officeDocument/2006/relationships/hyperlink" Target="https://www.lcsc.com/product-detail/Bipolar-Transistors-BJT_TECH-PUBLIC-MMBT3904M_C2923360.html" TargetMode="External"/><Relationship Id="rId28" Type="http://schemas.openxmlformats.org/officeDocument/2006/relationships/hyperlink" Target="https://www.lcsc.com/product-detail/Chip-Resistor-Surface-Mount_YAGEO-RC0603JR-07330RL_C105879.html" TargetMode="External"/><Relationship Id="rId36" Type="http://schemas.openxmlformats.org/officeDocument/2006/relationships/hyperlink" Target="https://www.lcsc.com/product-detail/Battery-Management-ICs_TOPPOWER-Nanjing-Extension-Microelectronics-TP4056-42-ESOP8_C16581.html" TargetMode="External"/><Relationship Id="rId49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10" Type="http://schemas.openxmlformats.org/officeDocument/2006/relationships/hyperlink" Target="https://www.lcsc.com/product-detail/USB-Connectors_Korean-Hroparts-Elec-TYPE-C-31-M-12_C165948.html" TargetMode="External"/><Relationship Id="rId19" Type="http://schemas.openxmlformats.org/officeDocument/2006/relationships/hyperlink" Target="https://www.lcsc.com/product-detail/Ferrite-Beads_Murata-Electronics-BLM18PG300SN1D_C17305.html" TargetMode="External"/><Relationship Id="rId31" Type="http://schemas.openxmlformats.org/officeDocument/2006/relationships/hyperlink" Target="https://www.lcsc.com/product-detail/Chip-Resistor-Surface-Mount_YAGEO-RC0603JR-0747KL_C127447.html" TargetMode="External"/><Relationship Id="rId44" Type="http://schemas.openxmlformats.org/officeDocument/2006/relationships/hyperlink" Target="https://www.lcsc.com/product-detail/Linear-Voltage-Regulators-LDO_MaxLinear-SPX3819M5-L-3-3-TR_C9055.html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s://www.lcsc.com/product-detail/Multilayer-Ceramic-Capacitors-MLCC-SMD-SMT_YAGEO-CC0603MRX5R6BB226_C109447.html" TargetMode="External"/><Relationship Id="rId9" Type="http://schemas.openxmlformats.org/officeDocument/2006/relationships/hyperlink" Target="https://www.lcsc.com/product-detail/Zener-Diodes_EIC-Semicon-MM3Z3V3B_C2978865.html" TargetMode="External"/><Relationship Id="rId14" Type="http://schemas.openxmlformats.org/officeDocument/2006/relationships/hyperlink" Target="https://www.lcsc.com/product-detail/Resettable-Fuses_BHFUSE-BSMD0805L-200_C2757931.html" TargetMode="External"/><Relationship Id="rId22" Type="http://schemas.openxmlformats.org/officeDocument/2006/relationships/hyperlink" Target="https://www.lcsc.com/product-detail/MOSFETs_Guangdong-Hottech-AO3407_C181093.html" TargetMode="External"/><Relationship Id="rId27" Type="http://schemas.openxmlformats.org/officeDocument/2006/relationships/hyperlink" Target="https://www.lcsc.com/product-detail/Chip-Resistor-Surface-Mount_YAGEO-RC0603JR-074K7L_C105428.html" TargetMode="External"/><Relationship Id="rId30" Type="http://schemas.openxmlformats.org/officeDocument/2006/relationships/hyperlink" Target="https://www.lcsc.com/product-detail/Chip-Resistor-Surface-Mount_FOJAN-FRC0402F7323TS_C5159692.html" TargetMode="External"/><Relationship Id="rId35" Type="http://schemas.openxmlformats.org/officeDocument/2006/relationships/hyperlink" Target="https://www.lcsc.com/product-detail/Tactile-Switches_XKB-Connectivity-TS-1109S-B-J_C480323.html" TargetMode="External"/><Relationship Id="rId43" Type="http://schemas.openxmlformats.org/officeDocument/2006/relationships/hyperlink" Target="https://www.lcsc.com/product-detail/WiFi-Modules_Espressif-Systems-ESP32-WROOM-32E-N8R2_C5361945.html" TargetMode="External"/><Relationship Id="rId48" Type="http://schemas.openxmlformats.org/officeDocument/2006/relationships/hyperlink" Target="https://www.lcsc.com/product-detail/Multilayer-Ceramic-Capacitors-MLCC-SMD-SMT_YAGEO-CC1206KKX7RCBB472_C107198.html" TargetMode="External"/><Relationship Id="rId8" Type="http://schemas.openxmlformats.org/officeDocument/2006/relationships/hyperlink" Target="https://www.lcsc.com/product-detail/Multilayer-Ceramic-Capacitors-MLCC-SMD-SMT_YAGEO-CC0402JRNPO9BN221_C107001.html" TargetMode="External"/><Relationship Id="rId51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3" Type="http://schemas.openxmlformats.org/officeDocument/2006/relationships/hyperlink" Target="https://www.lcsc.com/product-detail/Multilayer-Ceramic-Capacitors-MLCC-SMD-SMT_YAGEO-CC0603JRNPO9BN103_C389113.html" TargetMode="External"/><Relationship Id="rId12" Type="http://schemas.openxmlformats.org/officeDocument/2006/relationships/hyperlink" Target="https://www.lcsc.com/product-detail/Wire-To-Board-Wire-To-Wire-Connector_BOOMELE-Boom-Precision-Elec-C145963_C145963.html" TargetMode="External"/><Relationship Id="rId17" Type="http://schemas.openxmlformats.org/officeDocument/2006/relationships/hyperlink" Target="https://www.lcsc.com/product-detail/Inductors-SMD_TDK-VLCF5024T-330MR50-2_C2046704.html" TargetMode="External"/><Relationship Id="rId25" Type="http://schemas.openxmlformats.org/officeDocument/2006/relationships/hyperlink" Target="https://www.lcsc.com/product-detail/MOSFETs_TECH-PUBLIC-SI2302CDS_C5310968.html" TargetMode="External"/><Relationship Id="rId33" Type="http://schemas.openxmlformats.org/officeDocument/2006/relationships/hyperlink" Target="https://www.lcsc.com/product-detail/Chip-Resistor-Surface-Mount_YAGEO-RC0402FR-0710KL_C60490.html" TargetMode="External"/><Relationship Id="rId38" Type="http://schemas.openxmlformats.org/officeDocument/2006/relationships/hyperlink" Target="https://www.lcsc.com/product-detail/DC-DC-Converters_Texas-Instruments-TPS61022RWUR_C915088.html" TargetMode="External"/><Relationship Id="rId46" Type="http://schemas.openxmlformats.org/officeDocument/2006/relationships/hyperlink" Target="https://www.lcsc.com/product-detail/Audio-Power-OpAmps_Analog-Devices-Inc-Maxim-Integrated-MAX98357AETE-T_C910544.html" TargetMode="External"/><Relationship Id="rId20" Type="http://schemas.openxmlformats.org/officeDocument/2006/relationships/hyperlink" Target="https://www.lcsc.com/product-detail/Light-Emitting-Diodes-LED_Foshan-NationStar-Optoelectronics-NCD0603R3_C3151730.html" TargetMode="External"/><Relationship Id="rId41" Type="http://schemas.openxmlformats.org/officeDocument/2006/relationships/hyperlink" Target="https://www.lcsc.com/product-detail/Chip-Resistor-Surface-Mount_YAGEO-RC0603FR-071KL_C22548.html" TargetMode="External"/><Relationship Id="rId1" Type="http://schemas.openxmlformats.org/officeDocument/2006/relationships/hyperlink" Target="https://www.lcsc.com/product-detail/Speakers_FUET-FS40DS0430-H18-8_C969979.html" TargetMode="External"/><Relationship Id="rId6" Type="http://schemas.openxmlformats.org/officeDocument/2006/relationships/hyperlink" Target="https://www.lcsc.com/product-detail/Multilayer-Ceramic-Capacitors-MLCC-SMD-SMT_YAGEO-CC0402KRX5R8BB104_C106256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ESD-Protection-Devices_Nexperia-PESD5V0H1BSF_C477989.html" TargetMode="External"/><Relationship Id="rId18" Type="http://schemas.openxmlformats.org/officeDocument/2006/relationships/hyperlink" Target="https://www.lcsc.com/product-detail/span-style-background-color-ff0-Pin-span-Headers_Ckmtw-Shenzhen-Cankemeng-B-2100S02P-A110_C124375.html" TargetMode="External"/><Relationship Id="rId26" Type="http://schemas.openxmlformats.org/officeDocument/2006/relationships/hyperlink" Target="https://www.lcsc.com/product-detail/Chip-Resistor-Surface-Mount_YAGEO-RC0603FR-0710KL_C98220.html" TargetMode="External"/><Relationship Id="rId39" Type="http://schemas.openxmlformats.org/officeDocument/2006/relationships/hyperlink" Target="https://www.lcsc.com/product-detail/DC-DC-Converters_Texas-Instruments-TPS61022RWUR_C915088.html" TargetMode="External"/><Relationship Id="rId21" Type="http://schemas.openxmlformats.org/officeDocument/2006/relationships/hyperlink" Target="https://www.lcsc.com/product-detail/Light-Emitting-Diodes-LED_Worldsemi-WS2812B-XF02-W_C4154882.html" TargetMode="External"/><Relationship Id="rId34" Type="http://schemas.openxmlformats.org/officeDocument/2006/relationships/hyperlink" Target="https://www.lcsc.com/product-detail/Chip-span-style-background-color-ff0-Resistor-span-Surface-Mount_YAGEO-RT0402BRD0768RL_C852891.html" TargetMode="External"/><Relationship Id="rId42" Type="http://schemas.openxmlformats.org/officeDocument/2006/relationships/hyperlink" Target="https://www.lcsc.com/product-detail/Chip-Resistor-Surface-Mount_YAGEO-RC0603FR-071KL_C22548.html" TargetMode="External"/><Relationship Id="rId47" Type="http://schemas.openxmlformats.org/officeDocument/2006/relationships/hyperlink" Target="https://www.lcsc.com/product-detail/Audio-Power-OpAmps_Analog-Devices-Inc-Maxim-Integrated-MAX98357AETE-T_C910544.html" TargetMode="External"/><Relationship Id="rId50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7" Type="http://schemas.openxmlformats.org/officeDocument/2006/relationships/hyperlink" Target="https://www.lcsc.com/product-detail/Multilayer-Ceramic-Capacitors-MLCC-SMD-SMT_YAGEO-CC0603KRX5R8BB105_C14664.html" TargetMode="External"/><Relationship Id="rId2" Type="http://schemas.openxmlformats.org/officeDocument/2006/relationships/hyperlink" Target="https://vi.aliexpress.com/item/1005005257036835.html" TargetMode="External"/><Relationship Id="rId16" Type="http://schemas.openxmlformats.org/officeDocument/2006/relationships/hyperlink" Target="https://www.lcsc.com/product-detail/Power-Inductors_microgate-MPIT6045-1R0N-LF_C486570.html" TargetMode="External"/><Relationship Id="rId29" Type="http://schemas.openxmlformats.org/officeDocument/2006/relationships/hyperlink" Target="https://www.lcsc.com/product-detail/Chip-Resistor-Surface-Mount_UNI-ROYAL-Uniroyal-Elec-0603WAF1201T5E_C22765.html" TargetMode="External"/><Relationship Id="rId11" Type="http://schemas.openxmlformats.org/officeDocument/2006/relationships/hyperlink" Target="https://www.lcsc.com/product-detail/Wire-To-Board-Wire-To-Wire-Connector_JST-Sales-America-B2B-XH-A-LF-SN_C158012.html" TargetMode="External"/><Relationship Id="rId24" Type="http://schemas.openxmlformats.org/officeDocument/2006/relationships/hyperlink" Target="https://www.lcsc.com/product-detail/Chip-Resistor-Surface-Mount_YAGEO-RC0603FR-075K1L_C105580.html" TargetMode="External"/><Relationship Id="rId32" Type="http://schemas.openxmlformats.org/officeDocument/2006/relationships/hyperlink" Target="https://www.lcsc.com/product-detail/Chip-Resistor-Surface-Mount_YAGEO-RT0603BRD07100KL_C122538.html" TargetMode="External"/><Relationship Id="rId37" Type="http://schemas.openxmlformats.org/officeDocument/2006/relationships/hyperlink" Target="https://www.lcsc.com/product-detail/Battery-Management-ICs_TOPPOWER-Nanjing-Extension-Microelectronics-TP4056-42-ESOP8_C16581.html" TargetMode="External"/><Relationship Id="rId40" Type="http://schemas.openxmlformats.org/officeDocument/2006/relationships/hyperlink" Target="https://www.chipsmall.com/Products/TL1260GQRBLK_17235276.html" TargetMode="External"/><Relationship Id="rId45" Type="http://schemas.openxmlformats.org/officeDocument/2006/relationships/hyperlink" Target="https://www.lcsc.com/product-detail/Linear-Voltage-Regulators-LDO_MaxLinear-SPX3819M5-L-3-3-TR_C9055.html" TargetMode="External"/><Relationship Id="rId53" Type="http://schemas.openxmlformats.org/officeDocument/2006/relationships/drawing" Target="../drawings/drawing2.xml"/><Relationship Id="rId5" Type="http://schemas.openxmlformats.org/officeDocument/2006/relationships/hyperlink" Target="https://www.lcsc.com/product-detail/Multilayer-Ceramic-Capacitors-MLCC-SMD-SMT_YAGEO-CC0805KKX5R8BB106_C89831.html" TargetMode="External"/><Relationship Id="rId10" Type="http://schemas.openxmlformats.org/officeDocument/2006/relationships/hyperlink" Target="https://www.lcsc.com/product-detail/USB-Connectors_Korean-Hroparts-Elec-TYPE-C-31-M-12_C165948.html" TargetMode="External"/><Relationship Id="rId19" Type="http://schemas.openxmlformats.org/officeDocument/2006/relationships/hyperlink" Target="https://www.lcsc.com/product-detail/Ferrite-Beads_Murata-Electronics-BLM18PG300SN1D_C17305.html" TargetMode="External"/><Relationship Id="rId31" Type="http://schemas.openxmlformats.org/officeDocument/2006/relationships/hyperlink" Target="https://www.lcsc.com/product-detail/Chip-Resistor-Surface-Mount_YAGEO-RC0603JR-0747KL_C127447.html" TargetMode="External"/><Relationship Id="rId44" Type="http://schemas.openxmlformats.org/officeDocument/2006/relationships/hyperlink" Target="https://www.lcsc.com/product-detail/WiFi-Modules_Espressif-Systems-ESP32-WROOM-32E-N8R2_C5361945.html" TargetMode="External"/><Relationship Id="rId52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4" Type="http://schemas.openxmlformats.org/officeDocument/2006/relationships/hyperlink" Target="https://www.lcsc.com/product-detail/Multilayer-Ceramic-Capacitors-MLCC-SMD-SMT_YAGEO-CC0603MRX5R6BB226_C109447.html" TargetMode="External"/><Relationship Id="rId9" Type="http://schemas.openxmlformats.org/officeDocument/2006/relationships/hyperlink" Target="https://www.lcsc.com/product-detail/Zener-Diodes_EIC-Semicon-MM3Z3V3B_C2978865.html" TargetMode="External"/><Relationship Id="rId14" Type="http://schemas.openxmlformats.org/officeDocument/2006/relationships/hyperlink" Target="https://www.lcsc.com/product-detail/Resettable-Fuses_BHFUSE-BSMD0805L-200_C2757931.html" TargetMode="External"/><Relationship Id="rId22" Type="http://schemas.openxmlformats.org/officeDocument/2006/relationships/hyperlink" Target="https://www.lcsc.com/product-detail/MOSFETs_Guangdong-Hottech-AO3407_C181093.html" TargetMode="External"/><Relationship Id="rId27" Type="http://schemas.openxmlformats.org/officeDocument/2006/relationships/hyperlink" Target="https://www.lcsc.com/product-detail/Chip-Resistor-Surface-Mount_YAGEO-RC0603JR-074K7L_C105428.html" TargetMode="External"/><Relationship Id="rId30" Type="http://schemas.openxmlformats.org/officeDocument/2006/relationships/hyperlink" Target="https://www.lcsc.com/product-detail/Chip-Resistor-Surface-Mount_FOJAN-FRC0402F7323TS_C5159692.html" TargetMode="External"/><Relationship Id="rId35" Type="http://schemas.openxmlformats.org/officeDocument/2006/relationships/hyperlink" Target="https://www.lcsc.com/product-detail/Tactile-Switches_XKB-Connectivity-TS-1109S-C-B_C381037.html" TargetMode="External"/><Relationship Id="rId43" Type="http://schemas.openxmlformats.org/officeDocument/2006/relationships/hyperlink" Target="https://www.lcsc.com/product-detail/Chip-Resistor-Surface-Mount_UNI-ROYAL-Uniroyal-Elec-0603WAF0000T5E_C21189.html" TargetMode="External"/><Relationship Id="rId48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8" Type="http://schemas.openxmlformats.org/officeDocument/2006/relationships/hyperlink" Target="https://www.lcsc.com/product-detail/Multilayer-Ceramic-Capacitors-MLCC-SMD-SMT_YAGEO-CC0402JRNPO9BN221_C107001.html" TargetMode="External"/><Relationship Id="rId51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3" Type="http://schemas.openxmlformats.org/officeDocument/2006/relationships/hyperlink" Target="https://www.lcsc.com/product-detail/Multilayer-Ceramic-Capacitors-MLCC-SMD-SMT_YAGEO-CC0603JRNPO9BN103_C389113.html" TargetMode="External"/><Relationship Id="rId12" Type="http://schemas.openxmlformats.org/officeDocument/2006/relationships/hyperlink" Target="https://www.lcsc.com/product-detail/Wire-To-Board-Wire-To-Wire-Connector_BOOMELE-Boom-Precision-Elec-C145963_C145963.html" TargetMode="External"/><Relationship Id="rId17" Type="http://schemas.openxmlformats.org/officeDocument/2006/relationships/hyperlink" Target="https://www.lcsc.com/product-detail/Inductors-SMD_TDK-VLCF5024T-330MR50-2_C2046704.html" TargetMode="External"/><Relationship Id="rId25" Type="http://schemas.openxmlformats.org/officeDocument/2006/relationships/hyperlink" Target="https://www.lcsc.com/product-detail/MOSFETs_TECH-PUBLIC-SI2302CDS_C5310968.html" TargetMode="External"/><Relationship Id="rId33" Type="http://schemas.openxmlformats.org/officeDocument/2006/relationships/hyperlink" Target="https://www.lcsc.com/product-detail/Chip-Resistor-Surface-Mount_YAGEO-RC0402FR-0710KL_C60490.html" TargetMode="External"/><Relationship Id="rId38" Type="http://schemas.openxmlformats.org/officeDocument/2006/relationships/hyperlink" Target="https://www.lcsc.com/product-detail/Power-Distribution-Switches_Texas-Instruments-LM66200DRLR_C3235556.html" TargetMode="External"/><Relationship Id="rId46" Type="http://schemas.openxmlformats.org/officeDocument/2006/relationships/hyperlink" Target="https://www.lcsc.com/product-detail/Interface-Specialized_Analog-Devices-MAX16054AZT-T_C79401.html" TargetMode="External"/><Relationship Id="rId20" Type="http://schemas.openxmlformats.org/officeDocument/2006/relationships/hyperlink" Target="https://www.lcsc.com/product-detail/Light-Emitting-Diodes-LED_Foshan-NationStar-Optoelectronics-NCD0603R3_C3151730.html" TargetMode="External"/><Relationship Id="rId41" Type="http://schemas.openxmlformats.org/officeDocument/2006/relationships/hyperlink" Target="https://www.lcsc.com/product-detail/Chip-Resistor-Surface-Mount_YAGEO-RC0603FR-071ML_C105578.html" TargetMode="External"/><Relationship Id="rId1" Type="http://schemas.openxmlformats.org/officeDocument/2006/relationships/hyperlink" Target="https://www.lcsc.com/product-detail/Speakers_FUET-FS40DS0430-H18-8_C969979.html" TargetMode="External"/><Relationship Id="rId6" Type="http://schemas.openxmlformats.org/officeDocument/2006/relationships/hyperlink" Target="https://www.lcsc.com/product-detail/Multilayer-Ceramic-Capacitors-MLCC-SMD-SMT_YAGEO-CC0402KRX5R8BB104_C106256.html" TargetMode="External"/><Relationship Id="rId15" Type="http://schemas.openxmlformats.org/officeDocument/2006/relationships/hyperlink" Target="https://www.lcsc.com/product-detail/Ferrite-Beads_Murata-Electronics-BLM31PG121SN1L_C85841.html" TargetMode="External"/><Relationship Id="rId23" Type="http://schemas.openxmlformats.org/officeDocument/2006/relationships/hyperlink" Target="https://www.lcsc.com/product-detail/Bipolar-Transistors-BJT_TECH-PUBLIC-MMBT3904M_C2923360.html" TargetMode="External"/><Relationship Id="rId28" Type="http://schemas.openxmlformats.org/officeDocument/2006/relationships/hyperlink" Target="https://www.lcsc.com/product-detail/Chip-Resistor-Surface-Mount_YAGEO-RC0603JR-07330RL_C105879.html" TargetMode="External"/><Relationship Id="rId36" Type="http://schemas.openxmlformats.org/officeDocument/2006/relationships/hyperlink" Target="https://www.lcsc.com/product-detail/Tactile-Switches_XKB-Connectivity-TS-1109S-B-J_C480323.html" TargetMode="External"/><Relationship Id="rId49" Type="http://schemas.openxmlformats.org/officeDocument/2006/relationships/hyperlink" Target="https://www.lcsc.com/product-detail/Multilayer-Ceramic-Capacitors-MLCC-SMD-SMT_YAGEO-CC1206KKX7RCBB472_C107198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ESD-Protection-Devices_Nexperia-PESD5V0H1BSF_C477989.html" TargetMode="External"/><Relationship Id="rId18" Type="http://schemas.openxmlformats.org/officeDocument/2006/relationships/hyperlink" Target="https://www.lcsc.com/product-detail/span-style-background-color-ff0-Pin-span-Headers_Ckmtw-Shenzhen-Cankemeng-B-2100S02P-A110_C124375.html" TargetMode="External"/><Relationship Id="rId26" Type="http://schemas.openxmlformats.org/officeDocument/2006/relationships/hyperlink" Target="https://www.lcsc.com/product-detail/Chip-Resistor-Surface-Mount_YAGEO-RC0603FR-0710KL_C98220.html" TargetMode="External"/><Relationship Id="rId39" Type="http://schemas.openxmlformats.org/officeDocument/2006/relationships/hyperlink" Target="https://www.lcsc.com/product-detail/DC-DC-Converters_Texas-Instruments-TPS61022RWUR_C915088.html" TargetMode="External"/><Relationship Id="rId21" Type="http://schemas.openxmlformats.org/officeDocument/2006/relationships/hyperlink" Target="https://www.lcsc.com/product-detail/Light-Emitting-Diodes-LED_Worldsemi-WS2812B-XF02-W_C4154882.html" TargetMode="External"/><Relationship Id="rId34" Type="http://schemas.openxmlformats.org/officeDocument/2006/relationships/hyperlink" Target="https://www.lcsc.com/product-detail/Chip-span-style-background-color-ff0-Resistor-span-Surface-Mount_YAGEO-RT0402BRD0768RL_C852891.html" TargetMode="External"/><Relationship Id="rId42" Type="http://schemas.openxmlformats.org/officeDocument/2006/relationships/hyperlink" Target="https://www.lcsc.com/product-detail/Chip-Resistor-Surface-Mount_YAGEO-RC0603FR-071KL_C22548.html" TargetMode="External"/><Relationship Id="rId47" Type="http://schemas.openxmlformats.org/officeDocument/2006/relationships/hyperlink" Target="https://www.lcsc.com/product-detail/Audio-Power-OpAmps_Analog-Devices-Inc-Maxim-Integrated-MAX98357AETE-T_C910544.html" TargetMode="External"/><Relationship Id="rId50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7" Type="http://schemas.openxmlformats.org/officeDocument/2006/relationships/hyperlink" Target="https://www.lcsc.com/product-detail/Multilayer-Ceramic-Capacitors-MLCC-SMD-SMT_YAGEO-CC0603KRX5R8BB105_C14664.html" TargetMode="External"/><Relationship Id="rId2" Type="http://schemas.openxmlformats.org/officeDocument/2006/relationships/hyperlink" Target="https://vi.aliexpress.com/item/1005005257036835.html" TargetMode="External"/><Relationship Id="rId16" Type="http://schemas.openxmlformats.org/officeDocument/2006/relationships/hyperlink" Target="https://www.lcsc.com/product-detail/Power-Inductors_microgate-MPIT6045-1R0N-LF_C486570.html" TargetMode="External"/><Relationship Id="rId29" Type="http://schemas.openxmlformats.org/officeDocument/2006/relationships/hyperlink" Target="https://www.lcsc.com/product-detail/Chip-Resistor-Surface-Mount_UNI-ROYAL-Uniroyal-Elec-0603WAF1201T5E_C22765.html" TargetMode="External"/><Relationship Id="rId11" Type="http://schemas.openxmlformats.org/officeDocument/2006/relationships/hyperlink" Target="https://www.lcsc.com/product-detail/Wire-To-Board-Wire-To-Wire-Connector_JST-Sales-America-B2B-XH-A-LF-SN_C158012.html" TargetMode="External"/><Relationship Id="rId24" Type="http://schemas.openxmlformats.org/officeDocument/2006/relationships/hyperlink" Target="https://www.lcsc.com/product-detail/Chip-Resistor-Surface-Mount_YAGEO-RC0603FR-075K1L_C105580.html" TargetMode="External"/><Relationship Id="rId32" Type="http://schemas.openxmlformats.org/officeDocument/2006/relationships/hyperlink" Target="https://www.lcsc.com/product-detail/Chip-Resistor-Surface-Mount_YAGEO-RT0603BRD07100KL_C122538.html" TargetMode="External"/><Relationship Id="rId37" Type="http://schemas.openxmlformats.org/officeDocument/2006/relationships/hyperlink" Target="https://www.lcsc.com/product-detail/Battery-Management-ICs_TOPPOWER-Nanjing-Extension-Microelectronics-TP4056-42-ESOP8_C16581.html" TargetMode="External"/><Relationship Id="rId40" Type="http://schemas.openxmlformats.org/officeDocument/2006/relationships/hyperlink" Target="https://www.chipsmall.com/Products/TL1260GQRBLK_17235276.html" TargetMode="External"/><Relationship Id="rId45" Type="http://schemas.openxmlformats.org/officeDocument/2006/relationships/hyperlink" Target="https://www.lcsc.com/product-detail/Linear-Voltage-Regulators-LDO_MaxLinear-SPX3819M5-L-3-3-TR_C9055.html" TargetMode="External"/><Relationship Id="rId53" Type="http://schemas.openxmlformats.org/officeDocument/2006/relationships/drawing" Target="../drawings/drawing3.xml"/><Relationship Id="rId5" Type="http://schemas.openxmlformats.org/officeDocument/2006/relationships/hyperlink" Target="https://www.lcsc.com/product-detail/Multilayer-Ceramic-Capacitors-MLCC-SMD-SMT_YAGEO-CC0805KKX5R8BB106_C89831.html" TargetMode="External"/><Relationship Id="rId10" Type="http://schemas.openxmlformats.org/officeDocument/2006/relationships/hyperlink" Target="https://www.lcsc.com/product-detail/USB-Connectors_Korean-Hroparts-Elec-TYPE-C-31-M-12_C165948.html" TargetMode="External"/><Relationship Id="rId19" Type="http://schemas.openxmlformats.org/officeDocument/2006/relationships/hyperlink" Target="https://www.lcsc.com/product-detail/Ferrite-Beads_Murata-Electronics-BLM18PG300SN1D_C17305.html" TargetMode="External"/><Relationship Id="rId31" Type="http://schemas.openxmlformats.org/officeDocument/2006/relationships/hyperlink" Target="https://www.lcsc.com/product-detail/Chip-Resistor-Surface-Mount_YAGEO-RC0603JR-0747KL_C127447.html" TargetMode="External"/><Relationship Id="rId44" Type="http://schemas.openxmlformats.org/officeDocument/2006/relationships/hyperlink" Target="https://www.lcsc.com/product-detail/WiFi-Modules_Espressif-Systems-ESP32-WROOM-32E-N8R2_C5361945.html" TargetMode="External"/><Relationship Id="rId52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4" Type="http://schemas.openxmlformats.org/officeDocument/2006/relationships/hyperlink" Target="https://www.lcsc.com/product-detail/Multilayer-Ceramic-Capacitors-MLCC-SMD-SMT_YAGEO-CC0603MRX5R6BB226_C109447.html" TargetMode="External"/><Relationship Id="rId9" Type="http://schemas.openxmlformats.org/officeDocument/2006/relationships/hyperlink" Target="https://www.lcsc.com/product-detail/Zener-Diodes_EIC-Semicon-MM3Z3V3B_C2978865.html" TargetMode="External"/><Relationship Id="rId14" Type="http://schemas.openxmlformats.org/officeDocument/2006/relationships/hyperlink" Target="https://www.lcsc.com/product-detail/Resettable-Fuses_BHFUSE-BSMD0805L-200_C2757931.html" TargetMode="External"/><Relationship Id="rId22" Type="http://schemas.openxmlformats.org/officeDocument/2006/relationships/hyperlink" Target="https://www.lcsc.com/product-detail/MOSFETs_Guangdong-Hottech-AO3407_C181093.html" TargetMode="External"/><Relationship Id="rId27" Type="http://schemas.openxmlformats.org/officeDocument/2006/relationships/hyperlink" Target="https://www.lcsc.com/product-detail/Chip-Resistor-Surface-Mount_YAGEO-RC0603JR-074K7L_C105428.html" TargetMode="External"/><Relationship Id="rId30" Type="http://schemas.openxmlformats.org/officeDocument/2006/relationships/hyperlink" Target="https://www.lcsc.com/product-detail/Chip-Resistor-Surface-Mount_FOJAN-FRC0402F7323TS_C5159692.html" TargetMode="External"/><Relationship Id="rId35" Type="http://schemas.openxmlformats.org/officeDocument/2006/relationships/hyperlink" Target="https://www.lcsc.com/product-detail/Tactile-Switches_XKB-Connectivity-TS-1109S-C-B_C381037.html" TargetMode="External"/><Relationship Id="rId43" Type="http://schemas.openxmlformats.org/officeDocument/2006/relationships/hyperlink" Target="https://www.lcsc.com/product-detail/Chip-Resistor-Surface-Mount_UNI-ROYAL-Uniroyal-Elec-0603WAF0000T5E_C21189.html" TargetMode="External"/><Relationship Id="rId48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8" Type="http://schemas.openxmlformats.org/officeDocument/2006/relationships/hyperlink" Target="https://www.lcsc.com/product-detail/Multilayer-Ceramic-Capacitors-MLCC-SMD-SMT_YAGEO-CC0402JRNPO9BN221_C107001.html" TargetMode="External"/><Relationship Id="rId51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3" Type="http://schemas.openxmlformats.org/officeDocument/2006/relationships/hyperlink" Target="https://www.lcsc.com/product-detail/Multilayer-Ceramic-Capacitors-MLCC-SMD-SMT_YAGEO-CC0603JRNPO9BN103_C389113.html" TargetMode="External"/><Relationship Id="rId12" Type="http://schemas.openxmlformats.org/officeDocument/2006/relationships/hyperlink" Target="https://www.lcsc.com/product-detail/Wire-To-Board-Wire-To-Wire-Connector_BOOMELE-Boom-Precision-Elec-C145963_C145963.html" TargetMode="External"/><Relationship Id="rId17" Type="http://schemas.openxmlformats.org/officeDocument/2006/relationships/hyperlink" Target="https://www.lcsc.com/product-detail/Inductors-SMD_TDK-VLCF5024T-330MR50-2_C2046704.html" TargetMode="External"/><Relationship Id="rId25" Type="http://schemas.openxmlformats.org/officeDocument/2006/relationships/hyperlink" Target="https://www.lcsc.com/product-detail/MOSFETs_TECH-PUBLIC-SI2302CDS_C5310968.html" TargetMode="External"/><Relationship Id="rId33" Type="http://schemas.openxmlformats.org/officeDocument/2006/relationships/hyperlink" Target="https://www.lcsc.com/product-detail/Chip-Resistor-Surface-Mount_YAGEO-RC0402FR-0710KL_C60490.html" TargetMode="External"/><Relationship Id="rId38" Type="http://schemas.openxmlformats.org/officeDocument/2006/relationships/hyperlink" Target="https://www.lcsc.com/product-detail/Power-Distribution-Switches_Texas-Instruments-LM66200DRLR_C3235556.html" TargetMode="External"/><Relationship Id="rId46" Type="http://schemas.openxmlformats.org/officeDocument/2006/relationships/hyperlink" Target="https://www.lcsc.com/product-detail/Interface-Specialized_Analog-Devices-MAX16054AZT-T_C79401.html" TargetMode="External"/><Relationship Id="rId20" Type="http://schemas.openxmlformats.org/officeDocument/2006/relationships/hyperlink" Target="https://www.lcsc.com/product-detail/Light-Emitting-Diodes-LED_Foshan-NationStar-Optoelectronics-NCD0603R3_C3151730.html" TargetMode="External"/><Relationship Id="rId41" Type="http://schemas.openxmlformats.org/officeDocument/2006/relationships/hyperlink" Target="https://www.lcsc.com/product-detail/Chip-Resistor-Surface-Mount_YAGEO-RC0603FR-071ML_C105578.html" TargetMode="External"/><Relationship Id="rId1" Type="http://schemas.openxmlformats.org/officeDocument/2006/relationships/hyperlink" Target="https://www.lcsc.com/product-detail/Speakers_FUET-FS40DS0430-H18-8_C969979.html" TargetMode="External"/><Relationship Id="rId6" Type="http://schemas.openxmlformats.org/officeDocument/2006/relationships/hyperlink" Target="https://www.lcsc.com/product-detail/Multilayer-Ceramic-Capacitors-MLCC-SMD-SMT_YAGEO-CC0402KRX5R8BB104_C106256.html" TargetMode="External"/><Relationship Id="rId15" Type="http://schemas.openxmlformats.org/officeDocument/2006/relationships/hyperlink" Target="https://www.lcsc.com/product-detail/Ferrite-Beads_Murata-Electronics-BLM31PG121SN1L_C85841.html" TargetMode="External"/><Relationship Id="rId23" Type="http://schemas.openxmlformats.org/officeDocument/2006/relationships/hyperlink" Target="https://www.lcsc.com/product-detail/Bipolar-Transistors-BJT_TECH-PUBLIC-MMBT3904M_C2923360.html" TargetMode="External"/><Relationship Id="rId28" Type="http://schemas.openxmlformats.org/officeDocument/2006/relationships/hyperlink" Target="https://www.lcsc.com/product-detail/Chip-Resistor-Surface-Mount_YAGEO-RC0603JR-07330RL_C105879.html" TargetMode="External"/><Relationship Id="rId36" Type="http://schemas.openxmlformats.org/officeDocument/2006/relationships/hyperlink" Target="https://www.lcsc.com/product-detail/Tactile-Switches_XKB-Connectivity-TS-1109S-B-J_C480323.html" TargetMode="External"/><Relationship Id="rId49" Type="http://schemas.openxmlformats.org/officeDocument/2006/relationships/hyperlink" Target="https://www.lcsc.com/product-detail/Multilayer-Ceramic-Capacitors-MLCC-SMD-SMT_YAGEO-CC1206KKX7RCBB472_C107198.html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ESD-Protection-Devices_Nexperia-PESD5V0H1BSF_C477989.html" TargetMode="External"/><Relationship Id="rId18" Type="http://schemas.openxmlformats.org/officeDocument/2006/relationships/hyperlink" Target="https://www.lcsc.com/product-detail/span-style-background-color-ff0-Pin-span-Headers_Ckmtw-Shenzhen-Cankemeng-B-2100S02P-A110_C124375.html" TargetMode="External"/><Relationship Id="rId26" Type="http://schemas.openxmlformats.org/officeDocument/2006/relationships/hyperlink" Target="https://www.lcsc.com/product-detail/Chip-Resistor-Surface-Mount_YAGEO-RC0603FR-0710KL_C98220.html" TargetMode="External"/><Relationship Id="rId39" Type="http://schemas.openxmlformats.org/officeDocument/2006/relationships/hyperlink" Target="https://www.lcsc.com/product-detail/DC-DC-Converters_Texas-Instruments-TPS61022RWUR_C915088.html" TargetMode="External"/><Relationship Id="rId21" Type="http://schemas.openxmlformats.org/officeDocument/2006/relationships/hyperlink" Target="https://www.lcsc.com/product-detail/Light-Emitting-Diodes-LED_Worldsemi-WS2812B-XF02-W_C4154882.html" TargetMode="External"/><Relationship Id="rId34" Type="http://schemas.openxmlformats.org/officeDocument/2006/relationships/hyperlink" Target="https://www.lcsc.com/product-detail/Chip-span-style-background-color-ff0-Resistor-span-Surface-Mount_YAGEO-RT0402BRD0768RL_C852891.html" TargetMode="External"/><Relationship Id="rId42" Type="http://schemas.openxmlformats.org/officeDocument/2006/relationships/hyperlink" Target="https://www.lcsc.com/product-detail/Chip-Resistor-Surface-Mount_YAGEO-RC0603FR-071KL_C22548.html" TargetMode="External"/><Relationship Id="rId47" Type="http://schemas.openxmlformats.org/officeDocument/2006/relationships/hyperlink" Target="https://www.lcsc.com/product-detail/Audio-Power-OpAmps_Analog-Devices-Inc-Maxim-Integrated-MAX98357AETE-T_C910544.html" TargetMode="External"/><Relationship Id="rId50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7" Type="http://schemas.openxmlformats.org/officeDocument/2006/relationships/hyperlink" Target="https://www.lcsc.com/product-detail/Multilayer-Ceramic-Capacitors-MLCC-SMD-SMT_YAGEO-CC0603KRX5R8BB105_C14664.html" TargetMode="External"/><Relationship Id="rId2" Type="http://schemas.openxmlformats.org/officeDocument/2006/relationships/hyperlink" Target="https://vi.aliexpress.com/item/1005005257036835.html" TargetMode="External"/><Relationship Id="rId16" Type="http://schemas.openxmlformats.org/officeDocument/2006/relationships/hyperlink" Target="https://www.lcsc.com/product-detail/Power-Inductors_microgate-MPIT6045-1R0N-LF_C486570.html" TargetMode="External"/><Relationship Id="rId29" Type="http://schemas.openxmlformats.org/officeDocument/2006/relationships/hyperlink" Target="https://www.lcsc.com/product-detail/Chip-Resistor-Surface-Mount_UNI-ROYAL-Uniroyal-Elec-0603WAF1201T5E_C22765.html" TargetMode="External"/><Relationship Id="rId11" Type="http://schemas.openxmlformats.org/officeDocument/2006/relationships/hyperlink" Target="https://www.lcsc.com/product-detail/Wire-To-Board-Wire-To-Wire-Connector_JST-Sales-America-B2B-XH-A-LF-SN_C158012.html" TargetMode="External"/><Relationship Id="rId24" Type="http://schemas.openxmlformats.org/officeDocument/2006/relationships/hyperlink" Target="https://www.lcsc.com/product-detail/Chip-Resistor-Surface-Mount_YAGEO-RC0603FR-075K1L_C105580.html" TargetMode="External"/><Relationship Id="rId32" Type="http://schemas.openxmlformats.org/officeDocument/2006/relationships/hyperlink" Target="https://www.lcsc.com/product-detail/Chip-Resistor-Surface-Mount_YAGEO-RT0603BRD07100KL_C122538.html" TargetMode="External"/><Relationship Id="rId37" Type="http://schemas.openxmlformats.org/officeDocument/2006/relationships/hyperlink" Target="https://www.lcsc.com/product-detail/Battery-Management-ICs_TOPPOWER-Nanjing-Extension-Microelectronics-TP4056-42-ESOP8_C16581.html" TargetMode="External"/><Relationship Id="rId40" Type="http://schemas.openxmlformats.org/officeDocument/2006/relationships/hyperlink" Target="https://www.chipsmall.com/Products/TL1260GQRBLK_17235276.html" TargetMode="External"/><Relationship Id="rId45" Type="http://schemas.openxmlformats.org/officeDocument/2006/relationships/hyperlink" Target="https://www.lcsc.com/product-detail/Linear-Voltage-Regulators-LDO_MaxLinear-SPX3819M5-L-3-3-TR_C9055.html" TargetMode="External"/><Relationship Id="rId53" Type="http://schemas.openxmlformats.org/officeDocument/2006/relationships/drawing" Target="../drawings/drawing4.xml"/><Relationship Id="rId5" Type="http://schemas.openxmlformats.org/officeDocument/2006/relationships/hyperlink" Target="https://www.lcsc.com/product-detail/Multilayer-Ceramic-Capacitors-MLCC-SMD-SMT_YAGEO-CC0805KKX5R8BB106_C89831.html" TargetMode="External"/><Relationship Id="rId10" Type="http://schemas.openxmlformats.org/officeDocument/2006/relationships/hyperlink" Target="https://www.lcsc.com/product-detail/USB-Connectors_Korean-Hroparts-Elec-TYPE-C-31-M-12_C165948.html" TargetMode="External"/><Relationship Id="rId19" Type="http://schemas.openxmlformats.org/officeDocument/2006/relationships/hyperlink" Target="https://www.lcsc.com/product-detail/Ferrite-Beads_Murata-Electronics-BLM18PG300SN1D_C17305.html" TargetMode="External"/><Relationship Id="rId31" Type="http://schemas.openxmlformats.org/officeDocument/2006/relationships/hyperlink" Target="https://www.lcsc.com/product-detail/Chip-Resistor-Surface-Mount_YAGEO-RC0603JR-0747KL_C127447.html" TargetMode="External"/><Relationship Id="rId44" Type="http://schemas.openxmlformats.org/officeDocument/2006/relationships/hyperlink" Target="https://www.lcsc.com/product-detail/WiFi-Modules_Espressif-Systems-ESP32-WROOM-32E-N8R2_C5361945.html" TargetMode="External"/><Relationship Id="rId52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4" Type="http://schemas.openxmlformats.org/officeDocument/2006/relationships/hyperlink" Target="https://www.lcsc.com/product-detail/Multilayer-Ceramic-Capacitors-MLCC-SMD-SMT_YAGEO-CC0603MRX5R6BB226_C109447.html" TargetMode="External"/><Relationship Id="rId9" Type="http://schemas.openxmlformats.org/officeDocument/2006/relationships/hyperlink" Target="https://www.lcsc.com/product-detail/Zener-Diodes_EIC-Semicon-MM3Z3V3B_C2978865.html" TargetMode="External"/><Relationship Id="rId14" Type="http://schemas.openxmlformats.org/officeDocument/2006/relationships/hyperlink" Target="https://www.lcsc.com/product-detail/Resettable-Fuses_BHFUSE-BSMD0805L-200_C2757931.html" TargetMode="External"/><Relationship Id="rId22" Type="http://schemas.openxmlformats.org/officeDocument/2006/relationships/hyperlink" Target="https://www.lcsc.com/product-detail/MOSFETs_Guangdong-Hottech-AO3407_C181093.html" TargetMode="External"/><Relationship Id="rId27" Type="http://schemas.openxmlformats.org/officeDocument/2006/relationships/hyperlink" Target="https://www.lcsc.com/product-detail/Chip-Resistor-Surface-Mount_YAGEO-RC0603JR-074K7L_C105428.html" TargetMode="External"/><Relationship Id="rId30" Type="http://schemas.openxmlformats.org/officeDocument/2006/relationships/hyperlink" Target="https://www.lcsc.com/product-detail/Chip-Resistor-Surface-Mount_FOJAN-FRC0402F7323TS_C5159692.html" TargetMode="External"/><Relationship Id="rId35" Type="http://schemas.openxmlformats.org/officeDocument/2006/relationships/hyperlink" Target="https://www.lcsc.com/product-detail/Tactile-Switches_XKB-Connectivity-TS-1109S-C-B_C381037.html" TargetMode="External"/><Relationship Id="rId43" Type="http://schemas.openxmlformats.org/officeDocument/2006/relationships/hyperlink" Target="https://www.lcsc.com/product-detail/Chip-Resistor-Surface-Mount_UNI-ROYAL-Uniroyal-Elec-0603WAF0000T5E_C21189.html" TargetMode="External"/><Relationship Id="rId48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8" Type="http://schemas.openxmlformats.org/officeDocument/2006/relationships/hyperlink" Target="https://www.lcsc.com/product-detail/Multilayer-Ceramic-Capacitors-MLCC-SMD-SMT_YAGEO-CC0402JRNPO9BN221_C107001.html" TargetMode="External"/><Relationship Id="rId51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3" Type="http://schemas.openxmlformats.org/officeDocument/2006/relationships/hyperlink" Target="https://www.lcsc.com/product-detail/Multilayer-Ceramic-Capacitors-MLCC-SMD-SMT_YAGEO-CC0603JRNPO9BN103_C389113.html" TargetMode="External"/><Relationship Id="rId12" Type="http://schemas.openxmlformats.org/officeDocument/2006/relationships/hyperlink" Target="https://www.lcsc.com/product-detail/Wire-To-Board-Wire-To-Wire-Connector_BOOMELE-Boom-Precision-Elec-C145963_C145963.html" TargetMode="External"/><Relationship Id="rId17" Type="http://schemas.openxmlformats.org/officeDocument/2006/relationships/hyperlink" Target="https://www.lcsc.com/product-detail/Inductors-SMD_TDK-VLCF5024T-330MR50-2_C2046704.html" TargetMode="External"/><Relationship Id="rId25" Type="http://schemas.openxmlformats.org/officeDocument/2006/relationships/hyperlink" Target="https://www.lcsc.com/product-detail/MOSFETs_TECH-PUBLIC-SI2302CDS_C5310968.html" TargetMode="External"/><Relationship Id="rId33" Type="http://schemas.openxmlformats.org/officeDocument/2006/relationships/hyperlink" Target="https://www.lcsc.com/product-detail/Chip-Resistor-Surface-Mount_YAGEO-RC0402FR-0710KL_C60490.html" TargetMode="External"/><Relationship Id="rId38" Type="http://schemas.openxmlformats.org/officeDocument/2006/relationships/hyperlink" Target="https://www.lcsc.com/product-detail/Power-Distribution-Switches_Texas-Instruments-LM66200DRLR_C3235556.html" TargetMode="External"/><Relationship Id="rId46" Type="http://schemas.openxmlformats.org/officeDocument/2006/relationships/hyperlink" Target="https://www.lcsc.com/product-detail/Interface-Specialized_Analog-Devices-MAX16054AZT-T_C79401.html" TargetMode="External"/><Relationship Id="rId20" Type="http://schemas.openxmlformats.org/officeDocument/2006/relationships/hyperlink" Target="https://www.lcsc.com/product-detail/Light-Emitting-Diodes-LED_Foshan-NationStar-Optoelectronics-NCD0603R3_C3151730.html" TargetMode="External"/><Relationship Id="rId41" Type="http://schemas.openxmlformats.org/officeDocument/2006/relationships/hyperlink" Target="https://www.lcsc.com/product-detail/Chip-Resistor-Surface-Mount_YAGEO-RC0603FR-071ML_C105578.html" TargetMode="External"/><Relationship Id="rId1" Type="http://schemas.openxmlformats.org/officeDocument/2006/relationships/hyperlink" Target="https://www.lcsc.com/product-detail/Speakers_FUET-FS40DS0430-H18-8_C969979.html" TargetMode="External"/><Relationship Id="rId6" Type="http://schemas.openxmlformats.org/officeDocument/2006/relationships/hyperlink" Target="https://www.lcsc.com/product-detail/Multilayer-Ceramic-Capacitors-MLCC-SMD-SMT_YAGEO-CC0402KRX5R8BB104_C106256.html" TargetMode="External"/><Relationship Id="rId15" Type="http://schemas.openxmlformats.org/officeDocument/2006/relationships/hyperlink" Target="https://www.lcsc.com/product-detail/Ferrite-Beads_Murata-Electronics-BLM31PG121SN1L_C85841.html" TargetMode="External"/><Relationship Id="rId23" Type="http://schemas.openxmlformats.org/officeDocument/2006/relationships/hyperlink" Target="https://www.lcsc.com/product-detail/Bipolar-Transistors-BJT_TECH-PUBLIC-MMBT3904M_C2923360.html" TargetMode="External"/><Relationship Id="rId28" Type="http://schemas.openxmlformats.org/officeDocument/2006/relationships/hyperlink" Target="https://www.lcsc.com/product-detail/Chip-Resistor-Surface-Mount_YAGEO-RC0603JR-07330RL_C105879.html" TargetMode="External"/><Relationship Id="rId36" Type="http://schemas.openxmlformats.org/officeDocument/2006/relationships/hyperlink" Target="https://www.lcsc.com/product-detail/Tactile-Switches_XKB-Connectivity-TS-1109S-B-J_C480323.html" TargetMode="External"/><Relationship Id="rId49" Type="http://schemas.openxmlformats.org/officeDocument/2006/relationships/hyperlink" Target="https://www.lcsc.com/product-detail/Multilayer-Ceramic-Capacitors-MLCC-SMD-SMT_YAGEO-CC1206KKX7RCBB472_C10719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62"/>
  <sheetViews>
    <sheetView tabSelected="1" topLeftCell="A49" workbookViewId="0">
      <selection activeCell="D75" sqref="D75"/>
    </sheetView>
  </sheetViews>
  <sheetFormatPr defaultColWidth="9" defaultRowHeight="15"/>
  <cols>
    <col min="2" max="2" width="3.140625" style="65" customWidth="1"/>
    <col min="3" max="3" width="18" style="65" customWidth="1"/>
    <col min="4" max="4" width="27.42578125" customWidth="1"/>
    <col min="5" max="5" width="36.140625" customWidth="1"/>
    <col min="6" max="6" width="22.28515625" customWidth="1"/>
    <col min="7" max="7" width="33.42578125" customWidth="1"/>
    <col min="8" max="8" width="21.42578125" customWidth="1"/>
    <col min="9" max="9" width="29.7109375" customWidth="1"/>
    <col min="10" max="10" width="25.7109375" customWidth="1"/>
    <col min="11" max="11" width="6.85546875" customWidth="1"/>
    <col min="12" max="12" width="8.7109375" customWidth="1"/>
    <col min="13" max="13" width="18.28515625" customWidth="1"/>
    <col min="14" max="14" width="15.140625" customWidth="1"/>
    <col min="15" max="15" width="10.28515625" customWidth="1"/>
    <col min="16" max="16" width="18.7109375" customWidth="1"/>
    <col min="17" max="17" width="19.28515625" customWidth="1"/>
    <col min="18" max="18" width="8.5703125" customWidth="1"/>
    <col min="19" max="19" width="26.85546875" customWidth="1"/>
    <col min="21" max="22" width="25.28515625" customWidth="1"/>
  </cols>
  <sheetData>
    <row r="1" spans="1:19">
      <c r="A1" s="2"/>
      <c r="B1" s="3"/>
      <c r="C1" s="3"/>
      <c r="D1" s="4"/>
      <c r="E1" s="4"/>
      <c r="F1" s="4"/>
      <c r="G1" s="4"/>
      <c r="H1" s="4"/>
      <c r="I1" s="4"/>
      <c r="J1" s="4"/>
      <c r="K1" s="72"/>
      <c r="L1" s="72"/>
      <c r="M1" s="72"/>
      <c r="N1" s="72"/>
      <c r="O1" s="72"/>
      <c r="P1" s="72"/>
      <c r="Q1" s="72"/>
      <c r="R1" s="72"/>
      <c r="S1" s="73"/>
    </row>
    <row r="2" spans="1:19" ht="31.5">
      <c r="A2" s="2"/>
      <c r="B2" s="5"/>
      <c r="C2" s="6"/>
      <c r="D2" s="7" t="s">
        <v>0</v>
      </c>
      <c r="E2" s="7"/>
      <c r="F2" s="69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57"/>
    </row>
    <row r="3" spans="1:19">
      <c r="A3" s="2"/>
      <c r="B3" s="10"/>
      <c r="C3" s="11"/>
      <c r="D3" s="12" t="s">
        <v>2</v>
      </c>
      <c r="E3" s="12"/>
      <c r="F3" s="70" t="s">
        <v>3</v>
      </c>
      <c r="G3" s="12"/>
      <c r="H3" s="13"/>
      <c r="I3" s="12"/>
      <c r="J3" s="13"/>
      <c r="K3" s="13"/>
      <c r="L3" s="13"/>
      <c r="M3" s="13"/>
      <c r="N3" s="13"/>
      <c r="O3" s="13"/>
      <c r="P3" s="13"/>
      <c r="Q3" s="13"/>
      <c r="R3" s="13"/>
      <c r="S3" s="76"/>
    </row>
    <row r="4" spans="1:19">
      <c r="A4" s="2"/>
      <c r="B4" s="10"/>
      <c r="C4" s="11"/>
      <c r="D4" s="12" t="s">
        <v>4</v>
      </c>
      <c r="E4" s="12"/>
      <c r="F4" s="70" t="s">
        <v>3</v>
      </c>
      <c r="G4" s="14"/>
      <c r="H4" s="15"/>
      <c r="I4" s="14"/>
      <c r="J4" s="15"/>
      <c r="K4" s="15"/>
      <c r="L4" s="17"/>
      <c r="M4" s="17"/>
      <c r="N4" s="17"/>
      <c r="O4" s="17"/>
      <c r="P4" s="17"/>
      <c r="Q4" s="17"/>
      <c r="R4" s="17"/>
      <c r="S4" s="77"/>
    </row>
    <row r="5" spans="1:19">
      <c r="A5" s="2"/>
      <c r="B5" s="10"/>
      <c r="C5" s="11"/>
      <c r="D5" s="12" t="s">
        <v>5</v>
      </c>
      <c r="E5" s="12"/>
      <c r="F5" s="71" t="s">
        <v>6</v>
      </c>
      <c r="G5" s="16"/>
      <c r="H5" s="17"/>
      <c r="I5" s="16"/>
      <c r="J5" s="17"/>
      <c r="K5" s="17"/>
      <c r="L5" s="17"/>
      <c r="M5" s="17"/>
      <c r="N5" s="17"/>
      <c r="O5" s="17"/>
      <c r="P5" s="17"/>
      <c r="Q5" s="17"/>
      <c r="R5" s="17"/>
      <c r="S5" s="77"/>
    </row>
    <row r="6" spans="1:19">
      <c r="A6" s="2"/>
      <c r="B6" s="18"/>
      <c r="C6" s="19"/>
      <c r="D6" s="20"/>
      <c r="E6" s="20"/>
      <c r="F6" s="21"/>
      <c r="G6" s="16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77"/>
    </row>
    <row r="7" spans="1:19">
      <c r="A7" s="2"/>
      <c r="B7" s="22"/>
      <c r="C7" s="23"/>
      <c r="D7" s="24"/>
      <c r="E7" s="24"/>
      <c r="F7" s="25"/>
      <c r="G7" s="24"/>
      <c r="H7" s="26"/>
      <c r="I7" s="24"/>
      <c r="J7" s="26"/>
      <c r="K7" s="26"/>
      <c r="L7" s="26"/>
      <c r="M7" s="26"/>
      <c r="N7" s="26"/>
      <c r="O7" s="26"/>
      <c r="P7" s="26"/>
      <c r="Q7" s="26"/>
      <c r="R7" s="26"/>
      <c r="S7" s="77"/>
    </row>
    <row r="8" spans="1:19">
      <c r="A8" s="2"/>
      <c r="B8" s="27"/>
      <c r="C8" s="28"/>
      <c r="D8" s="29"/>
      <c r="E8" s="29"/>
      <c r="F8" s="30"/>
      <c r="G8" s="24"/>
      <c r="H8" s="26"/>
      <c r="I8" s="24"/>
      <c r="J8" s="26"/>
      <c r="K8" s="26"/>
      <c r="L8" s="26"/>
      <c r="M8" s="26"/>
      <c r="N8" s="26"/>
      <c r="O8" s="26"/>
      <c r="P8" s="26"/>
      <c r="Q8" s="26"/>
      <c r="R8" s="26"/>
      <c r="S8" s="77"/>
    </row>
    <row r="9" spans="1:19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  <c r="M9" s="31" t="s">
        <v>18</v>
      </c>
      <c r="N9" s="31" t="s">
        <v>19</v>
      </c>
      <c r="O9" s="31" t="s">
        <v>20</v>
      </c>
      <c r="P9" s="31" t="s">
        <v>21</v>
      </c>
      <c r="Q9" s="31" t="s">
        <v>22</v>
      </c>
      <c r="R9" s="31" t="s">
        <v>23</v>
      </c>
      <c r="S9" s="31" t="s">
        <v>24</v>
      </c>
    </row>
    <row r="10" spans="1:19">
      <c r="A10" s="2"/>
      <c r="B10" s="33">
        <f>ROW(B10)-ROW($B$9)</f>
        <v>1</v>
      </c>
      <c r="C10" s="34" t="s">
        <v>25</v>
      </c>
      <c r="D10" s="35" t="s">
        <v>26</v>
      </c>
      <c r="E10" s="35" t="s">
        <v>27</v>
      </c>
      <c r="F10" s="35" t="s">
        <v>28</v>
      </c>
      <c r="G10" s="35" t="s">
        <v>29</v>
      </c>
      <c r="H10" s="35" t="s">
        <v>30</v>
      </c>
      <c r="I10" s="35" t="s">
        <v>31</v>
      </c>
      <c r="J10" s="51" t="s">
        <v>32</v>
      </c>
      <c r="K10" s="35" t="s">
        <v>33</v>
      </c>
      <c r="L10" s="35">
        <v>6</v>
      </c>
      <c r="M10" s="35">
        <f>L10*5</f>
        <v>30</v>
      </c>
      <c r="N10" s="35">
        <v>40</v>
      </c>
      <c r="O10" s="52" t="s">
        <v>34</v>
      </c>
      <c r="P10" s="53">
        <v>3.5499999999999997E-2</v>
      </c>
      <c r="Q10" s="56">
        <f>P10*N10</f>
        <v>1.42</v>
      </c>
      <c r="R10" s="35"/>
      <c r="S10" s="68"/>
    </row>
    <row r="11" spans="1:19" ht="24">
      <c r="A11" s="2"/>
      <c r="B11" s="36">
        <f t="shared" ref="B11:B40" si="0">ROW(B11)-ROW($B$9)</f>
        <v>2</v>
      </c>
      <c r="C11" s="34" t="s">
        <v>25</v>
      </c>
      <c r="D11" s="37" t="s">
        <v>35</v>
      </c>
      <c r="E11" s="37" t="s">
        <v>36</v>
      </c>
      <c r="F11" s="37" t="s">
        <v>37</v>
      </c>
      <c r="G11" s="37" t="s">
        <v>38</v>
      </c>
      <c r="H11" s="37" t="s">
        <v>30</v>
      </c>
      <c r="I11" s="35" t="s">
        <v>31</v>
      </c>
      <c r="J11" s="54" t="s">
        <v>39</v>
      </c>
      <c r="K11" s="37" t="s">
        <v>40</v>
      </c>
      <c r="L11" s="37">
        <v>14</v>
      </c>
      <c r="M11" s="37">
        <f t="shared" ref="M11:M12" si="1">L11*5</f>
        <v>70</v>
      </c>
      <c r="N11" s="37">
        <v>100</v>
      </c>
      <c r="O11" s="52" t="s">
        <v>34</v>
      </c>
      <c r="P11" s="53">
        <v>1.8E-3</v>
      </c>
      <c r="Q11" s="53">
        <f t="shared" ref="Q11:Q12" si="2">P11*N11</f>
        <v>0.18</v>
      </c>
      <c r="R11" s="37"/>
      <c r="S11" s="37"/>
    </row>
    <row r="12" spans="1:19">
      <c r="A12" s="2"/>
      <c r="B12" s="33">
        <f t="shared" si="0"/>
        <v>3</v>
      </c>
      <c r="C12" s="34" t="s">
        <v>25</v>
      </c>
      <c r="D12" s="35" t="s">
        <v>41</v>
      </c>
      <c r="E12" s="35" t="s">
        <v>42</v>
      </c>
      <c r="F12" s="35" t="s">
        <v>43</v>
      </c>
      <c r="G12" s="35" t="s">
        <v>44</v>
      </c>
      <c r="H12" s="35" t="s">
        <v>30</v>
      </c>
      <c r="I12" s="35" t="s">
        <v>31</v>
      </c>
      <c r="J12" s="51" t="s">
        <v>45</v>
      </c>
      <c r="K12" s="35" t="s">
        <v>46</v>
      </c>
      <c r="L12" s="35">
        <v>3</v>
      </c>
      <c r="M12" s="35">
        <f t="shared" si="1"/>
        <v>15</v>
      </c>
      <c r="N12" s="35">
        <v>50</v>
      </c>
      <c r="O12" s="55" t="s">
        <v>34</v>
      </c>
      <c r="P12" s="56">
        <v>1.66E-2</v>
      </c>
      <c r="Q12" s="56">
        <f t="shared" si="2"/>
        <v>0.83</v>
      </c>
      <c r="R12" s="35"/>
      <c r="S12" s="59"/>
    </row>
    <row r="13" spans="1:19">
      <c r="A13" s="2"/>
      <c r="B13" s="36">
        <f t="shared" si="0"/>
        <v>4</v>
      </c>
      <c r="C13" s="34" t="s">
        <v>25</v>
      </c>
      <c r="D13" s="37" t="s">
        <v>47</v>
      </c>
      <c r="E13" s="37" t="s">
        <v>48</v>
      </c>
      <c r="F13" s="37" t="s">
        <v>37</v>
      </c>
      <c r="G13" s="37" t="s">
        <v>49</v>
      </c>
      <c r="H13" s="37" t="s">
        <v>30</v>
      </c>
      <c r="I13" s="35" t="s">
        <v>31</v>
      </c>
      <c r="J13" s="54" t="s">
        <v>50</v>
      </c>
      <c r="K13" s="37" t="s">
        <v>51</v>
      </c>
      <c r="L13" s="37">
        <v>2</v>
      </c>
      <c r="M13" s="37">
        <f t="shared" ref="M13:M14" si="3">L13*5</f>
        <v>10</v>
      </c>
      <c r="N13" s="35">
        <v>100</v>
      </c>
      <c r="O13" s="52" t="s">
        <v>34</v>
      </c>
      <c r="P13" s="53">
        <v>2.3E-3</v>
      </c>
      <c r="Q13" s="53">
        <f t="shared" ref="Q13:Q14" si="4">P13*N13</f>
        <v>0.23</v>
      </c>
      <c r="R13" s="37"/>
      <c r="S13" s="59"/>
    </row>
    <row r="14" spans="1:19">
      <c r="A14" s="2"/>
      <c r="B14" s="33">
        <f t="shared" si="0"/>
        <v>5</v>
      </c>
      <c r="C14" s="34" t="s">
        <v>25</v>
      </c>
      <c r="D14" s="35" t="s">
        <v>52</v>
      </c>
      <c r="E14" s="35" t="s">
        <v>53</v>
      </c>
      <c r="F14" s="35" t="s">
        <v>43</v>
      </c>
      <c r="G14" s="35" t="s">
        <v>54</v>
      </c>
      <c r="H14" s="35" t="s">
        <v>30</v>
      </c>
      <c r="I14" s="35" t="s">
        <v>31</v>
      </c>
      <c r="J14" s="51" t="s">
        <v>55</v>
      </c>
      <c r="K14" s="35" t="s">
        <v>56</v>
      </c>
      <c r="L14" s="35">
        <v>4</v>
      </c>
      <c r="M14" s="35">
        <f t="shared" si="3"/>
        <v>20</v>
      </c>
      <c r="N14" s="37">
        <v>100</v>
      </c>
      <c r="O14" s="52" t="s">
        <v>34</v>
      </c>
      <c r="P14" s="53">
        <v>5.1999999999999998E-3</v>
      </c>
      <c r="Q14" s="56">
        <f t="shared" si="4"/>
        <v>0.52</v>
      </c>
      <c r="R14" s="35"/>
      <c r="S14" s="59"/>
    </row>
    <row r="15" spans="1:19">
      <c r="A15" s="2"/>
      <c r="B15" s="36">
        <f t="shared" si="0"/>
        <v>6</v>
      </c>
      <c r="C15" s="34" t="s">
        <v>25</v>
      </c>
      <c r="D15" s="37" t="s">
        <v>57</v>
      </c>
      <c r="E15" s="37" t="s">
        <v>58</v>
      </c>
      <c r="F15" s="37" t="s">
        <v>43</v>
      </c>
      <c r="G15" s="37" t="s">
        <v>59</v>
      </c>
      <c r="H15" s="37" t="s">
        <v>30</v>
      </c>
      <c r="I15" s="35" t="s">
        <v>31</v>
      </c>
      <c r="J15" s="54" t="s">
        <v>60</v>
      </c>
      <c r="K15" s="37" t="s">
        <v>61</v>
      </c>
      <c r="L15" s="37">
        <v>4</v>
      </c>
      <c r="M15" s="37">
        <f t="shared" ref="M15:M17" si="5">L15*5</f>
        <v>20</v>
      </c>
      <c r="N15" s="35">
        <v>40</v>
      </c>
      <c r="O15" s="52" t="s">
        <v>34</v>
      </c>
      <c r="P15" s="53">
        <v>4.5199999999999997E-2</v>
      </c>
      <c r="Q15" s="53">
        <f t="shared" ref="Q15:Q17" si="6">P15*N15</f>
        <v>1.8080000000000001</v>
      </c>
      <c r="R15" s="37"/>
      <c r="S15" s="59"/>
    </row>
    <row r="16" spans="1:19">
      <c r="A16" s="2"/>
      <c r="B16" s="36">
        <f t="shared" si="0"/>
        <v>7</v>
      </c>
      <c r="C16" s="34" t="s">
        <v>25</v>
      </c>
      <c r="D16" s="35" t="s">
        <v>62</v>
      </c>
      <c r="E16" s="35" t="s">
        <v>63</v>
      </c>
      <c r="F16" s="35" t="s">
        <v>64</v>
      </c>
      <c r="G16" s="35" t="s">
        <v>65</v>
      </c>
      <c r="H16" s="35" t="s">
        <v>30</v>
      </c>
      <c r="I16" s="35" t="s">
        <v>31</v>
      </c>
      <c r="J16" s="35" t="s">
        <v>66</v>
      </c>
      <c r="K16" s="35" t="s">
        <v>67</v>
      </c>
      <c r="L16" s="35">
        <v>1</v>
      </c>
      <c r="M16" s="37">
        <f t="shared" si="5"/>
        <v>5</v>
      </c>
      <c r="N16" s="35">
        <v>50</v>
      </c>
      <c r="O16" s="55" t="s">
        <v>34</v>
      </c>
      <c r="P16" s="56">
        <v>1.9099999999999999E-2</v>
      </c>
      <c r="Q16" s="56">
        <f t="shared" si="6"/>
        <v>0.95499999999999996</v>
      </c>
      <c r="R16" s="35"/>
      <c r="S16" s="59"/>
    </row>
    <row r="17" spans="1:19">
      <c r="A17" s="2"/>
      <c r="B17" s="33">
        <f t="shared" si="0"/>
        <v>8</v>
      </c>
      <c r="C17" s="34" t="s">
        <v>68</v>
      </c>
      <c r="D17" s="35" t="s">
        <v>69</v>
      </c>
      <c r="E17" s="35" t="s">
        <v>70</v>
      </c>
      <c r="F17" s="35" t="s">
        <v>71</v>
      </c>
      <c r="G17" s="35" t="s">
        <v>72</v>
      </c>
      <c r="H17" s="35" t="s">
        <v>73</v>
      </c>
      <c r="I17" s="35" t="s">
        <v>31</v>
      </c>
      <c r="J17" s="51" t="s">
        <v>74</v>
      </c>
      <c r="K17" s="35" t="s">
        <v>31</v>
      </c>
      <c r="L17" s="35">
        <v>1</v>
      </c>
      <c r="M17" s="35">
        <f t="shared" si="5"/>
        <v>5</v>
      </c>
      <c r="N17" s="35">
        <v>10</v>
      </c>
      <c r="O17" s="55" t="s">
        <v>34</v>
      </c>
      <c r="P17" s="56">
        <v>3.4099999999999998E-2</v>
      </c>
      <c r="Q17" s="56">
        <f t="shared" si="6"/>
        <v>0.34100000000000003</v>
      </c>
      <c r="R17" s="35"/>
      <c r="S17" s="59"/>
    </row>
    <row r="18" spans="1:19" ht="24">
      <c r="A18" s="2"/>
      <c r="B18" s="36">
        <f t="shared" si="0"/>
        <v>9</v>
      </c>
      <c r="C18" s="34" t="s">
        <v>68</v>
      </c>
      <c r="D18" s="37" t="s">
        <v>75</v>
      </c>
      <c r="E18" s="37" t="s">
        <v>76</v>
      </c>
      <c r="F18" s="37" t="s">
        <v>77</v>
      </c>
      <c r="G18" s="37" t="s">
        <v>78</v>
      </c>
      <c r="H18" s="37" t="s">
        <v>79</v>
      </c>
      <c r="I18" s="35" t="s">
        <v>31</v>
      </c>
      <c r="J18" s="54" t="s">
        <v>80</v>
      </c>
      <c r="K18" s="35" t="s">
        <v>31</v>
      </c>
      <c r="L18" s="37">
        <v>1</v>
      </c>
      <c r="M18" s="37">
        <f t="shared" ref="M18:M19" si="7">L18*5</f>
        <v>5</v>
      </c>
      <c r="N18" s="35">
        <v>10</v>
      </c>
      <c r="O18" s="52" t="s">
        <v>34</v>
      </c>
      <c r="P18" s="53">
        <v>4.0399999999999998E-2</v>
      </c>
      <c r="Q18" s="53">
        <f t="shared" ref="Q18:Q19" si="8">P18*N18</f>
        <v>0.40400000000000003</v>
      </c>
      <c r="R18" s="37"/>
      <c r="S18" s="59"/>
    </row>
    <row r="19" spans="1:19" ht="24">
      <c r="A19" s="2"/>
      <c r="B19" s="33">
        <f t="shared" si="0"/>
        <v>10</v>
      </c>
      <c r="C19" s="34" t="s">
        <v>81</v>
      </c>
      <c r="D19" s="35" t="s">
        <v>82</v>
      </c>
      <c r="E19" s="35" t="s">
        <v>83</v>
      </c>
      <c r="F19" s="35" t="s">
        <v>84</v>
      </c>
      <c r="G19" s="35" t="s">
        <v>85</v>
      </c>
      <c r="H19" s="35" t="s">
        <v>86</v>
      </c>
      <c r="I19" s="35" t="s">
        <v>31</v>
      </c>
      <c r="J19" s="51" t="s">
        <v>87</v>
      </c>
      <c r="K19" s="35" t="s">
        <v>31</v>
      </c>
      <c r="L19" s="35">
        <v>1</v>
      </c>
      <c r="M19" s="35">
        <f t="shared" si="7"/>
        <v>5</v>
      </c>
      <c r="N19" s="37">
        <v>10</v>
      </c>
      <c r="O19" s="55" t="s">
        <v>34</v>
      </c>
      <c r="P19" s="56">
        <v>9.3299999999999994E-2</v>
      </c>
      <c r="Q19" s="56">
        <f t="shared" si="8"/>
        <v>0.93300000000000005</v>
      </c>
      <c r="R19" s="35"/>
      <c r="S19" s="59"/>
    </row>
    <row r="20" spans="1:19" ht="36">
      <c r="A20" s="2"/>
      <c r="B20" s="36">
        <f t="shared" si="0"/>
        <v>11</v>
      </c>
      <c r="C20" s="38" t="s">
        <v>88</v>
      </c>
      <c r="D20" s="37" t="s">
        <v>89</v>
      </c>
      <c r="E20" s="37" t="s">
        <v>90</v>
      </c>
      <c r="F20" s="37" t="s">
        <v>91</v>
      </c>
      <c r="G20" s="37" t="s">
        <v>92</v>
      </c>
      <c r="H20" s="37" t="s">
        <v>93</v>
      </c>
      <c r="I20" s="35" t="s">
        <v>31</v>
      </c>
      <c r="J20" s="54" t="s">
        <v>94</v>
      </c>
      <c r="K20" s="35" t="s">
        <v>31</v>
      </c>
      <c r="L20" s="37">
        <v>3</v>
      </c>
      <c r="M20" s="37">
        <f t="shared" ref="M20:M21" si="9">L20*5</f>
        <v>15</v>
      </c>
      <c r="N20" s="35">
        <v>100</v>
      </c>
      <c r="O20" s="55" t="s">
        <v>34</v>
      </c>
      <c r="P20" s="56">
        <v>7.1000000000000004E-3</v>
      </c>
      <c r="Q20" s="53">
        <f t="shared" ref="Q20:Q21" si="10">P20*N20</f>
        <v>0.71</v>
      </c>
      <c r="R20" s="37"/>
      <c r="S20" s="59"/>
    </row>
    <row r="21" spans="1:19">
      <c r="A21" s="2"/>
      <c r="B21" s="33">
        <f t="shared" si="0"/>
        <v>12</v>
      </c>
      <c r="C21" s="34" t="s">
        <v>88</v>
      </c>
      <c r="D21" s="35" t="s">
        <v>95</v>
      </c>
      <c r="E21" s="35" t="s">
        <v>96</v>
      </c>
      <c r="F21" s="35" t="s">
        <v>97</v>
      </c>
      <c r="G21" s="35" t="s">
        <v>98</v>
      </c>
      <c r="H21" s="35" t="s">
        <v>93</v>
      </c>
      <c r="I21" s="35" t="s">
        <v>31</v>
      </c>
      <c r="J21" s="51" t="s">
        <v>99</v>
      </c>
      <c r="K21" s="35" t="s">
        <v>100</v>
      </c>
      <c r="L21" s="35">
        <v>1</v>
      </c>
      <c r="M21" s="35">
        <f t="shared" si="9"/>
        <v>5</v>
      </c>
      <c r="N21" s="37">
        <v>10</v>
      </c>
      <c r="O21" s="55" t="s">
        <v>34</v>
      </c>
      <c r="P21" s="56">
        <v>6.6900000000000001E-2</v>
      </c>
      <c r="Q21" s="56">
        <f t="shared" si="10"/>
        <v>0.66900000000000004</v>
      </c>
      <c r="R21" s="35"/>
      <c r="S21" s="59"/>
    </row>
    <row r="22" spans="1:19" ht="24">
      <c r="A22" s="2"/>
      <c r="B22" s="36">
        <f t="shared" si="0"/>
        <v>13</v>
      </c>
      <c r="C22" s="38" t="s">
        <v>101</v>
      </c>
      <c r="D22" s="37" t="s">
        <v>102</v>
      </c>
      <c r="E22" s="37" t="s">
        <v>103</v>
      </c>
      <c r="F22" s="37" t="s">
        <v>104</v>
      </c>
      <c r="G22" s="37" t="s">
        <v>105</v>
      </c>
      <c r="H22" s="37" t="s">
        <v>106</v>
      </c>
      <c r="I22" s="35" t="s">
        <v>31</v>
      </c>
      <c r="J22" s="54" t="s">
        <v>107</v>
      </c>
      <c r="K22" s="37" t="s">
        <v>31</v>
      </c>
      <c r="L22" s="37">
        <v>1</v>
      </c>
      <c r="M22" s="37">
        <f t="shared" ref="M22:M23" si="11">L22*5</f>
        <v>5</v>
      </c>
      <c r="N22" s="35">
        <v>20</v>
      </c>
      <c r="O22" s="52" t="s">
        <v>34</v>
      </c>
      <c r="P22" s="53">
        <v>3.2800000000000003E-2</v>
      </c>
      <c r="Q22" s="53">
        <f t="shared" ref="Q22:Q23" si="12">P22*N22</f>
        <v>0.65600000000000003</v>
      </c>
      <c r="R22" s="37"/>
      <c r="S22" s="59"/>
    </row>
    <row r="23" spans="1:19" ht="24">
      <c r="A23" s="2"/>
      <c r="B23" s="33">
        <f t="shared" si="0"/>
        <v>14</v>
      </c>
      <c r="C23" s="34" t="s">
        <v>108</v>
      </c>
      <c r="D23" s="35" t="s">
        <v>109</v>
      </c>
      <c r="E23" s="35" t="s">
        <v>110</v>
      </c>
      <c r="F23" s="35" t="s">
        <v>111</v>
      </c>
      <c r="G23" s="35" t="s">
        <v>112</v>
      </c>
      <c r="H23" s="35" t="s">
        <v>113</v>
      </c>
      <c r="I23" s="35" t="s">
        <v>31</v>
      </c>
      <c r="J23" s="51" t="s">
        <v>114</v>
      </c>
      <c r="K23" s="37" t="s">
        <v>31</v>
      </c>
      <c r="L23" s="35">
        <v>1</v>
      </c>
      <c r="M23" s="35">
        <f t="shared" si="11"/>
        <v>5</v>
      </c>
      <c r="N23" s="37">
        <v>10</v>
      </c>
      <c r="O23" s="55" t="s">
        <v>34</v>
      </c>
      <c r="P23" s="56">
        <v>0.16120000000000001</v>
      </c>
      <c r="Q23" s="56">
        <f t="shared" si="12"/>
        <v>1.6120000000000001</v>
      </c>
      <c r="R23" s="35"/>
      <c r="S23" s="59"/>
    </row>
    <row r="24" spans="1:19" ht="24">
      <c r="A24" s="2"/>
      <c r="B24" s="36">
        <f t="shared" si="0"/>
        <v>15</v>
      </c>
      <c r="C24" s="38" t="s">
        <v>115</v>
      </c>
      <c r="D24" s="37" t="s">
        <v>116</v>
      </c>
      <c r="E24" s="37" t="s">
        <v>117</v>
      </c>
      <c r="F24" s="37" t="s">
        <v>118</v>
      </c>
      <c r="G24" s="37" t="s">
        <v>119</v>
      </c>
      <c r="H24" s="37" t="s">
        <v>120</v>
      </c>
      <c r="I24" s="35" t="s">
        <v>31</v>
      </c>
      <c r="J24" s="54" t="s">
        <v>119</v>
      </c>
      <c r="K24" s="37" t="s">
        <v>31</v>
      </c>
      <c r="L24" s="37">
        <v>1</v>
      </c>
      <c r="M24" s="37">
        <f t="shared" ref="M24:M25" si="13">L24*5</f>
        <v>5</v>
      </c>
      <c r="N24" s="35">
        <v>12</v>
      </c>
      <c r="O24" s="55" t="s">
        <v>34</v>
      </c>
      <c r="P24" s="56">
        <v>6.8000000000000005E-2</v>
      </c>
      <c r="Q24" s="53">
        <f t="shared" ref="Q24:Q25" si="14">P24*N24</f>
        <v>0.81599999999999995</v>
      </c>
      <c r="R24" s="37"/>
      <c r="S24" s="59"/>
    </row>
    <row r="25" spans="1:19">
      <c r="A25" s="2"/>
      <c r="B25" s="33">
        <f t="shared" si="0"/>
        <v>16</v>
      </c>
      <c r="C25" s="34" t="s">
        <v>121</v>
      </c>
      <c r="D25" s="35" t="s">
        <v>122</v>
      </c>
      <c r="E25" s="35" t="s">
        <v>123</v>
      </c>
      <c r="F25" s="35" t="s">
        <v>124</v>
      </c>
      <c r="G25" s="39">
        <v>61300211121</v>
      </c>
      <c r="H25" s="35" t="s">
        <v>125</v>
      </c>
      <c r="I25" s="35" t="s">
        <v>126</v>
      </c>
      <c r="J25" s="51" t="s">
        <v>127</v>
      </c>
      <c r="K25" s="37" t="s">
        <v>31</v>
      </c>
      <c r="L25" s="35">
        <v>1</v>
      </c>
      <c r="M25" s="35">
        <f t="shared" si="13"/>
        <v>5</v>
      </c>
      <c r="N25" s="37">
        <v>20</v>
      </c>
      <c r="O25" s="55" t="s">
        <v>34</v>
      </c>
      <c r="P25" s="56">
        <v>2.1999999999999999E-2</v>
      </c>
      <c r="Q25" s="56">
        <f t="shared" si="14"/>
        <v>0.44</v>
      </c>
      <c r="R25" s="35"/>
      <c r="S25" s="59"/>
    </row>
    <row r="26" spans="1:19" ht="24">
      <c r="A26" s="2"/>
      <c r="B26" s="36">
        <f t="shared" si="0"/>
        <v>17</v>
      </c>
      <c r="C26" s="38" t="s">
        <v>128</v>
      </c>
      <c r="D26" s="37" t="s">
        <v>129</v>
      </c>
      <c r="E26" s="37" t="s">
        <v>130</v>
      </c>
      <c r="F26" s="37" t="s">
        <v>131</v>
      </c>
      <c r="G26" s="37" t="s">
        <v>131</v>
      </c>
      <c r="H26" s="37" t="s">
        <v>132</v>
      </c>
      <c r="I26" s="35" t="s">
        <v>31</v>
      </c>
      <c r="J26" s="54" t="s">
        <v>133</v>
      </c>
      <c r="K26" s="37" t="s">
        <v>134</v>
      </c>
      <c r="L26" s="37">
        <v>1</v>
      </c>
      <c r="M26" s="37">
        <f t="shared" ref="M26:M27" si="15">L26*5</f>
        <v>5</v>
      </c>
      <c r="N26" s="35">
        <v>10</v>
      </c>
      <c r="O26" s="52" t="s">
        <v>34</v>
      </c>
      <c r="P26" s="53">
        <v>7.2599999999999998E-2</v>
      </c>
      <c r="Q26" s="53">
        <f t="shared" ref="Q26:Q27" si="16">P26*N26</f>
        <v>0.72599999999999998</v>
      </c>
      <c r="R26" s="37"/>
      <c r="S26" s="59"/>
    </row>
    <row r="27" spans="1:19" ht="24">
      <c r="A27" s="2"/>
      <c r="B27" s="33">
        <f t="shared" si="0"/>
        <v>18</v>
      </c>
      <c r="C27" s="34" t="s">
        <v>135</v>
      </c>
      <c r="D27" s="35" t="s">
        <v>136</v>
      </c>
      <c r="E27" s="35" t="s">
        <v>137</v>
      </c>
      <c r="F27" s="35" t="s">
        <v>138</v>
      </c>
      <c r="G27" s="35" t="s">
        <v>138</v>
      </c>
      <c r="H27" s="35" t="s">
        <v>139</v>
      </c>
      <c r="I27" s="35" t="s">
        <v>31</v>
      </c>
      <c r="J27" s="51" t="s">
        <v>140</v>
      </c>
      <c r="K27" s="35" t="s">
        <v>141</v>
      </c>
      <c r="L27" s="35">
        <v>2</v>
      </c>
      <c r="M27" s="35">
        <f t="shared" si="15"/>
        <v>10</v>
      </c>
      <c r="N27" s="37">
        <v>11</v>
      </c>
      <c r="O27" s="55" t="s">
        <v>34</v>
      </c>
      <c r="P27" s="56">
        <v>0.41689999999999999</v>
      </c>
      <c r="Q27" s="56">
        <f t="shared" si="16"/>
        <v>4.5858999999999996</v>
      </c>
      <c r="R27" s="35"/>
      <c r="S27" s="59"/>
    </row>
    <row r="28" spans="1:19" ht="24">
      <c r="A28" s="2"/>
      <c r="B28" s="36">
        <f t="shared" si="0"/>
        <v>19</v>
      </c>
      <c r="C28" s="38" t="s">
        <v>142</v>
      </c>
      <c r="D28" s="37" t="s">
        <v>143</v>
      </c>
      <c r="E28" s="37" t="s">
        <v>144</v>
      </c>
      <c r="F28" s="37" t="s">
        <v>145</v>
      </c>
      <c r="G28" s="37" t="s">
        <v>146</v>
      </c>
      <c r="H28" s="37" t="s">
        <v>147</v>
      </c>
      <c r="I28" s="35" t="s">
        <v>31</v>
      </c>
      <c r="J28" s="54" t="s">
        <v>148</v>
      </c>
      <c r="K28" s="37" t="s">
        <v>31</v>
      </c>
      <c r="L28" s="37">
        <v>1</v>
      </c>
      <c r="M28" s="37">
        <f t="shared" ref="M28:M30" si="17">L28*5</f>
        <v>5</v>
      </c>
      <c r="N28" s="37">
        <v>20</v>
      </c>
      <c r="O28" s="55" t="s">
        <v>34</v>
      </c>
      <c r="P28" s="56">
        <v>2.0799999999999999E-2</v>
      </c>
      <c r="Q28" s="53">
        <f t="shared" ref="Q28:Q30" si="18">P28*N28</f>
        <v>0.41599999999999998</v>
      </c>
      <c r="R28" s="37"/>
      <c r="S28" s="59"/>
    </row>
    <row r="29" spans="1:19" ht="24">
      <c r="A29" s="2"/>
      <c r="B29" s="33">
        <f t="shared" si="0"/>
        <v>20</v>
      </c>
      <c r="C29" s="34" t="s">
        <v>149</v>
      </c>
      <c r="D29" s="35" t="s">
        <v>150</v>
      </c>
      <c r="E29" s="35" t="s">
        <v>151</v>
      </c>
      <c r="F29" s="35" t="s">
        <v>152</v>
      </c>
      <c r="G29" s="35" t="s">
        <v>152</v>
      </c>
      <c r="H29" s="35" t="s">
        <v>153</v>
      </c>
      <c r="I29" s="35" t="s">
        <v>31</v>
      </c>
      <c r="J29" s="51" t="s">
        <v>154</v>
      </c>
      <c r="K29" s="37" t="s">
        <v>31</v>
      </c>
      <c r="L29" s="35">
        <v>3</v>
      </c>
      <c r="M29" s="35">
        <f t="shared" si="17"/>
        <v>15</v>
      </c>
      <c r="N29" s="35">
        <v>20</v>
      </c>
      <c r="O29" s="52" t="s">
        <v>34</v>
      </c>
      <c r="P29" s="53">
        <v>6.1699999999999998E-2</v>
      </c>
      <c r="Q29" s="56">
        <f t="shared" si="18"/>
        <v>1.234</v>
      </c>
      <c r="R29" s="35"/>
      <c r="S29" s="59"/>
    </row>
    <row r="30" spans="1:19" ht="36">
      <c r="A30" s="2"/>
      <c r="B30" s="33">
        <f t="shared" si="0"/>
        <v>21</v>
      </c>
      <c r="C30" s="34" t="s">
        <v>155</v>
      </c>
      <c r="D30" s="35" t="s">
        <v>156</v>
      </c>
      <c r="E30" s="35" t="s">
        <v>157</v>
      </c>
      <c r="F30" s="35" t="s">
        <v>158</v>
      </c>
      <c r="G30" s="35" t="s">
        <v>159</v>
      </c>
      <c r="H30" s="35" t="s">
        <v>160</v>
      </c>
      <c r="I30" s="35" t="s">
        <v>31</v>
      </c>
      <c r="J30" s="51" t="s">
        <v>161</v>
      </c>
      <c r="K30" s="37" t="s">
        <v>31</v>
      </c>
      <c r="L30" s="35">
        <v>1</v>
      </c>
      <c r="M30" s="35">
        <f t="shared" si="17"/>
        <v>5</v>
      </c>
      <c r="N30" s="35">
        <v>20</v>
      </c>
      <c r="O30" s="52" t="s">
        <v>34</v>
      </c>
      <c r="P30" s="53">
        <v>3.2500000000000001E-2</v>
      </c>
      <c r="Q30" s="56">
        <f t="shared" si="18"/>
        <v>0.65</v>
      </c>
      <c r="R30" s="35"/>
      <c r="S30" s="59"/>
    </row>
    <row r="31" spans="1:19" ht="48">
      <c r="A31" s="2"/>
      <c r="B31" s="36">
        <f t="shared" si="0"/>
        <v>22</v>
      </c>
      <c r="C31" s="38" t="s">
        <v>155</v>
      </c>
      <c r="D31" s="37" t="s">
        <v>162</v>
      </c>
      <c r="E31" s="37" t="s">
        <v>163</v>
      </c>
      <c r="F31" s="37" t="s">
        <v>164</v>
      </c>
      <c r="G31" s="37" t="s">
        <v>165</v>
      </c>
      <c r="H31" s="37" t="s">
        <v>166</v>
      </c>
      <c r="I31" s="35" t="s">
        <v>31</v>
      </c>
      <c r="J31" s="54" t="s">
        <v>167</v>
      </c>
      <c r="K31" s="37" t="s">
        <v>31</v>
      </c>
      <c r="L31" s="37">
        <v>2</v>
      </c>
      <c r="M31" s="37">
        <f t="shared" ref="M31:M32" si="19">L31*5</f>
        <v>10</v>
      </c>
      <c r="N31" s="54">
        <v>20</v>
      </c>
      <c r="O31" s="55" t="s">
        <v>34</v>
      </c>
      <c r="P31" s="56">
        <v>3.3500000000000002E-2</v>
      </c>
      <c r="Q31" s="53">
        <f t="shared" ref="Q31:Q32" si="20">P31*N31</f>
        <v>0.67</v>
      </c>
      <c r="R31" s="37"/>
      <c r="S31" s="59"/>
    </row>
    <row r="32" spans="1:19">
      <c r="A32" s="2"/>
      <c r="B32" s="33">
        <f t="shared" si="0"/>
        <v>23</v>
      </c>
      <c r="C32" s="34" t="s">
        <v>155</v>
      </c>
      <c r="D32" s="35" t="s">
        <v>168</v>
      </c>
      <c r="E32" s="35" t="s">
        <v>169</v>
      </c>
      <c r="F32" s="35" t="s">
        <v>170</v>
      </c>
      <c r="G32" s="35" t="s">
        <v>171</v>
      </c>
      <c r="H32" s="35" t="s">
        <v>166</v>
      </c>
      <c r="I32" s="35" t="s">
        <v>31</v>
      </c>
      <c r="J32" s="51" t="s">
        <v>172</v>
      </c>
      <c r="K32" s="35" t="s">
        <v>31</v>
      </c>
      <c r="L32" s="35">
        <v>1</v>
      </c>
      <c r="M32" s="35">
        <f t="shared" si="19"/>
        <v>5</v>
      </c>
      <c r="N32" s="35">
        <v>20</v>
      </c>
      <c r="O32" s="55" t="s">
        <v>34</v>
      </c>
      <c r="P32" s="56">
        <v>3.4099999999999998E-2</v>
      </c>
      <c r="Q32" s="56">
        <f t="shared" si="20"/>
        <v>0.68200000000000005</v>
      </c>
      <c r="R32" s="35"/>
      <c r="S32" s="59"/>
    </row>
    <row r="33" spans="1:19">
      <c r="A33" s="2"/>
      <c r="B33" s="36">
        <f t="shared" si="0"/>
        <v>24</v>
      </c>
      <c r="C33" s="38" t="s">
        <v>173</v>
      </c>
      <c r="D33" s="37" t="s">
        <v>174</v>
      </c>
      <c r="E33" s="37" t="s">
        <v>175</v>
      </c>
      <c r="F33" s="37" t="s">
        <v>176</v>
      </c>
      <c r="G33" s="37" t="s">
        <v>177</v>
      </c>
      <c r="H33" s="37" t="s">
        <v>30</v>
      </c>
      <c r="I33" s="35" t="s">
        <v>31</v>
      </c>
      <c r="J33" s="54" t="s">
        <v>178</v>
      </c>
      <c r="K33" s="37" t="s">
        <v>179</v>
      </c>
      <c r="L33" s="37">
        <v>2</v>
      </c>
      <c r="M33" s="37">
        <f t="shared" ref="M33:M34" si="21">L33*5</f>
        <v>10</v>
      </c>
      <c r="N33" s="35">
        <v>100</v>
      </c>
      <c r="O33" s="55" t="s">
        <v>34</v>
      </c>
      <c r="P33" s="56">
        <v>1.2999999999999999E-3</v>
      </c>
      <c r="Q33" s="53">
        <f t="shared" ref="Q33:Q34" si="22">P33*N33</f>
        <v>0.13</v>
      </c>
      <c r="R33" s="37"/>
      <c r="S33" s="59"/>
    </row>
    <row r="34" spans="1:19">
      <c r="A34" s="2"/>
      <c r="B34" s="33">
        <f t="shared" si="0"/>
        <v>25</v>
      </c>
      <c r="C34" s="34" t="s">
        <v>173</v>
      </c>
      <c r="D34" s="35" t="s">
        <v>180</v>
      </c>
      <c r="E34" s="35" t="s">
        <v>181</v>
      </c>
      <c r="F34" s="35" t="s">
        <v>176</v>
      </c>
      <c r="G34" s="35" t="s">
        <v>182</v>
      </c>
      <c r="H34" s="35" t="s">
        <v>30</v>
      </c>
      <c r="I34" s="35" t="s">
        <v>31</v>
      </c>
      <c r="J34" s="51" t="s">
        <v>183</v>
      </c>
      <c r="K34" s="35" t="s">
        <v>184</v>
      </c>
      <c r="L34" s="35">
        <v>1</v>
      </c>
      <c r="M34" s="35">
        <f t="shared" si="21"/>
        <v>5</v>
      </c>
      <c r="N34" s="35">
        <v>100</v>
      </c>
      <c r="O34" s="52" t="s">
        <v>34</v>
      </c>
      <c r="P34" s="53">
        <v>1.1000000000000001E-3</v>
      </c>
      <c r="Q34" s="56">
        <f t="shared" si="22"/>
        <v>0.11</v>
      </c>
      <c r="R34" s="35"/>
      <c r="S34" s="59"/>
    </row>
    <row r="35" spans="1:19" ht="24">
      <c r="A35" s="2"/>
      <c r="B35" s="36">
        <f t="shared" si="0"/>
        <v>26</v>
      </c>
      <c r="C35" s="38" t="s">
        <v>173</v>
      </c>
      <c r="D35" s="37" t="s">
        <v>185</v>
      </c>
      <c r="E35" s="37" t="s">
        <v>186</v>
      </c>
      <c r="F35" s="37" t="s">
        <v>176</v>
      </c>
      <c r="G35" s="37" t="s">
        <v>187</v>
      </c>
      <c r="H35" s="37" t="s">
        <v>188</v>
      </c>
      <c r="I35" s="35" t="s">
        <v>31</v>
      </c>
      <c r="J35" s="54" t="s">
        <v>189</v>
      </c>
      <c r="K35" s="37" t="s">
        <v>190</v>
      </c>
      <c r="L35" s="37">
        <v>1</v>
      </c>
      <c r="M35" s="37">
        <f t="shared" ref="M35:M36" si="23">L35*5</f>
        <v>5</v>
      </c>
      <c r="N35" s="37">
        <v>100</v>
      </c>
      <c r="O35" s="55" t="s">
        <v>34</v>
      </c>
      <c r="P35" s="56">
        <v>1.1000000000000001E-3</v>
      </c>
      <c r="Q35" s="53">
        <f t="shared" ref="Q35:Q36" si="24">P35*N35</f>
        <v>0.11</v>
      </c>
      <c r="R35" s="37"/>
      <c r="S35" s="59"/>
    </row>
    <row r="36" spans="1:19">
      <c r="A36" s="2"/>
      <c r="B36" s="33">
        <f t="shared" si="0"/>
        <v>27</v>
      </c>
      <c r="C36" s="34" t="s">
        <v>173</v>
      </c>
      <c r="D36" s="35" t="s">
        <v>191</v>
      </c>
      <c r="E36" s="35" t="s">
        <v>192</v>
      </c>
      <c r="F36" s="35" t="s">
        <v>176</v>
      </c>
      <c r="G36" s="35" t="s">
        <v>193</v>
      </c>
      <c r="H36" s="35" t="s">
        <v>30</v>
      </c>
      <c r="I36" s="35" t="s">
        <v>31</v>
      </c>
      <c r="J36" s="51" t="s">
        <v>194</v>
      </c>
      <c r="K36" s="35" t="s">
        <v>195</v>
      </c>
      <c r="L36" s="35">
        <v>6</v>
      </c>
      <c r="M36" s="35">
        <f t="shared" si="23"/>
        <v>30</v>
      </c>
      <c r="N36" s="35">
        <v>100</v>
      </c>
      <c r="O36" s="55" t="s">
        <v>34</v>
      </c>
      <c r="P36" s="56">
        <v>1E-3</v>
      </c>
      <c r="Q36" s="56">
        <f t="shared" si="24"/>
        <v>0.1</v>
      </c>
      <c r="R36" s="35"/>
      <c r="S36" s="59"/>
    </row>
    <row r="37" spans="1:19" ht="24">
      <c r="A37" s="2"/>
      <c r="B37" s="36">
        <f t="shared" si="0"/>
        <v>28</v>
      </c>
      <c r="C37" s="38" t="s">
        <v>173</v>
      </c>
      <c r="D37" s="37" t="s">
        <v>196</v>
      </c>
      <c r="E37" s="37" t="s">
        <v>197</v>
      </c>
      <c r="F37" s="37" t="s">
        <v>198</v>
      </c>
      <c r="G37" s="37" t="s">
        <v>199</v>
      </c>
      <c r="H37" s="37" t="s">
        <v>200</v>
      </c>
      <c r="I37" s="35" t="s">
        <v>31</v>
      </c>
      <c r="J37" s="54" t="s">
        <v>201</v>
      </c>
      <c r="K37" s="37" t="s">
        <v>202</v>
      </c>
      <c r="L37" s="37">
        <v>1</v>
      </c>
      <c r="M37" s="37">
        <f t="shared" ref="M37:M38" si="25">L37*5</f>
        <v>5</v>
      </c>
      <c r="N37" s="37">
        <v>10</v>
      </c>
      <c r="O37" s="55" t="s">
        <v>34</v>
      </c>
      <c r="P37" s="56">
        <v>4.0000000000000002E-4</v>
      </c>
      <c r="Q37" s="53">
        <f t="shared" ref="Q37:Q38" si="26">P37*N37</f>
        <v>4.0000000000000001E-3</v>
      </c>
      <c r="R37" s="37"/>
      <c r="S37" s="59"/>
    </row>
    <row r="38" spans="1:19">
      <c r="A38" s="2"/>
      <c r="B38" s="33">
        <f t="shared" si="0"/>
        <v>29</v>
      </c>
      <c r="C38" s="34" t="s">
        <v>173</v>
      </c>
      <c r="D38" s="35" t="s">
        <v>203</v>
      </c>
      <c r="E38" s="35" t="s">
        <v>204</v>
      </c>
      <c r="F38" s="35" t="s">
        <v>176</v>
      </c>
      <c r="G38" s="35" t="s">
        <v>205</v>
      </c>
      <c r="H38" s="35" t="s">
        <v>30</v>
      </c>
      <c r="I38" s="35" t="s">
        <v>31</v>
      </c>
      <c r="J38" s="51" t="s">
        <v>206</v>
      </c>
      <c r="K38" s="35" t="s">
        <v>207</v>
      </c>
      <c r="L38" s="35">
        <v>3</v>
      </c>
      <c r="M38" s="35">
        <f t="shared" si="25"/>
        <v>15</v>
      </c>
      <c r="N38" s="35">
        <v>20</v>
      </c>
      <c r="O38" s="52" t="s">
        <v>34</v>
      </c>
      <c r="P38" s="53">
        <v>2.1100000000000001E-2</v>
      </c>
      <c r="Q38" s="56">
        <f t="shared" si="26"/>
        <v>0.42199999999999999</v>
      </c>
      <c r="R38" s="35"/>
      <c r="S38" s="59"/>
    </row>
    <row r="39" spans="1:19">
      <c r="A39" s="2"/>
      <c r="B39" s="36">
        <f t="shared" si="0"/>
        <v>30</v>
      </c>
      <c r="C39" s="34" t="s">
        <v>173</v>
      </c>
      <c r="D39" s="37" t="s">
        <v>208</v>
      </c>
      <c r="E39" s="37" t="s">
        <v>209</v>
      </c>
      <c r="F39" s="37" t="s">
        <v>176</v>
      </c>
      <c r="G39" s="37" t="s">
        <v>210</v>
      </c>
      <c r="H39" s="37" t="s">
        <v>30</v>
      </c>
      <c r="I39" s="35" t="s">
        <v>31</v>
      </c>
      <c r="J39" s="54" t="s">
        <v>211</v>
      </c>
      <c r="K39" s="37" t="s">
        <v>212</v>
      </c>
      <c r="L39" s="37">
        <v>3</v>
      </c>
      <c r="M39" s="37">
        <f t="shared" ref="M39:M40" si="27">L39*5</f>
        <v>15</v>
      </c>
      <c r="N39" s="54">
        <v>100</v>
      </c>
      <c r="O39" s="55" t="s">
        <v>34</v>
      </c>
      <c r="P39" s="56">
        <v>1.1000000000000001E-3</v>
      </c>
      <c r="Q39" s="53">
        <f t="shared" ref="Q39:Q40" si="28">P39*N39</f>
        <v>0.11</v>
      </c>
      <c r="R39" s="37"/>
      <c r="S39" s="59"/>
    </row>
    <row r="40" spans="1:19">
      <c r="A40" s="2"/>
      <c r="B40" s="33">
        <f t="shared" si="0"/>
        <v>31</v>
      </c>
      <c r="C40" s="34" t="s">
        <v>173</v>
      </c>
      <c r="D40" s="35" t="s">
        <v>213</v>
      </c>
      <c r="E40" s="35" t="s">
        <v>214</v>
      </c>
      <c r="F40" s="35" t="s">
        <v>176</v>
      </c>
      <c r="G40" s="35" t="s">
        <v>215</v>
      </c>
      <c r="H40" s="35" t="s">
        <v>30</v>
      </c>
      <c r="I40" s="35" t="s">
        <v>31</v>
      </c>
      <c r="J40" s="51" t="s">
        <v>216</v>
      </c>
      <c r="K40" s="35" t="s">
        <v>217</v>
      </c>
      <c r="L40" s="35">
        <v>3</v>
      </c>
      <c r="M40" s="35">
        <f t="shared" si="27"/>
        <v>15</v>
      </c>
      <c r="N40" s="35">
        <v>100</v>
      </c>
      <c r="O40" s="55" t="s">
        <v>34</v>
      </c>
      <c r="P40" s="56">
        <v>1.1000000000000001E-3</v>
      </c>
      <c r="Q40" s="56">
        <f t="shared" si="28"/>
        <v>0.11</v>
      </c>
      <c r="R40" s="35"/>
      <c r="S40" s="59"/>
    </row>
    <row r="41" spans="1:19">
      <c r="A41" s="2"/>
      <c r="B41" s="33">
        <f t="shared" ref="B41:B60" si="29">ROW(B41)-ROW($B$9)</f>
        <v>32</v>
      </c>
      <c r="C41" s="34" t="s">
        <v>173</v>
      </c>
      <c r="D41" s="35" t="s">
        <v>218</v>
      </c>
      <c r="E41" s="35" t="s">
        <v>219</v>
      </c>
      <c r="F41" s="35" t="s">
        <v>198</v>
      </c>
      <c r="G41" s="35" t="s">
        <v>220</v>
      </c>
      <c r="H41" s="35" t="s">
        <v>30</v>
      </c>
      <c r="I41" s="35" t="s">
        <v>31</v>
      </c>
      <c r="J41" s="51" t="s">
        <v>221</v>
      </c>
      <c r="K41" s="35" t="s">
        <v>195</v>
      </c>
      <c r="L41" s="35">
        <v>2</v>
      </c>
      <c r="M41" s="35">
        <f>L41*5</f>
        <v>10</v>
      </c>
      <c r="N41" s="35">
        <v>100</v>
      </c>
      <c r="O41" s="55" t="s">
        <v>34</v>
      </c>
      <c r="P41" s="56">
        <v>5.9999999999999995E-4</v>
      </c>
      <c r="Q41" s="56">
        <f>P41*N41</f>
        <v>0.06</v>
      </c>
      <c r="R41" s="35"/>
      <c r="S41" s="59"/>
    </row>
    <row r="42" spans="1:19">
      <c r="A42" s="2"/>
      <c r="B42" s="36">
        <f t="shared" si="29"/>
        <v>33</v>
      </c>
      <c r="C42" s="38" t="s">
        <v>173</v>
      </c>
      <c r="D42" s="37" t="s">
        <v>222</v>
      </c>
      <c r="E42" s="37" t="s">
        <v>223</v>
      </c>
      <c r="F42" s="37" t="s">
        <v>176</v>
      </c>
      <c r="G42" s="37" t="s">
        <v>224</v>
      </c>
      <c r="H42" s="37" t="s">
        <v>30</v>
      </c>
      <c r="I42" s="35" t="s">
        <v>31</v>
      </c>
      <c r="J42" s="37" t="s">
        <v>225</v>
      </c>
      <c r="K42" s="37" t="s">
        <v>226</v>
      </c>
      <c r="L42" s="37">
        <v>2</v>
      </c>
      <c r="M42" s="37">
        <f t="shared" ref="M42:M43" si="30">L42*5</f>
        <v>10</v>
      </c>
      <c r="N42" s="37">
        <v>100</v>
      </c>
      <c r="O42" s="52" t="s">
        <v>34</v>
      </c>
      <c r="P42" s="53">
        <v>1E-3</v>
      </c>
      <c r="Q42" s="53">
        <f t="shared" ref="Q42:Q43" si="31">P42*N42</f>
        <v>0.1</v>
      </c>
      <c r="R42" s="37"/>
      <c r="S42" s="59"/>
    </row>
    <row r="43" spans="1:19">
      <c r="A43" s="2"/>
      <c r="B43" s="33">
        <f t="shared" si="29"/>
        <v>34</v>
      </c>
      <c r="C43" s="34" t="s">
        <v>173</v>
      </c>
      <c r="D43" s="35" t="s">
        <v>227</v>
      </c>
      <c r="E43" s="35" t="s">
        <v>228</v>
      </c>
      <c r="F43" s="35" t="s">
        <v>176</v>
      </c>
      <c r="G43" s="40" t="s">
        <v>229</v>
      </c>
      <c r="H43" s="35" t="s">
        <v>30</v>
      </c>
      <c r="I43" s="35" t="s">
        <v>230</v>
      </c>
      <c r="J43" s="35" t="s">
        <v>231</v>
      </c>
      <c r="K43" s="35" t="s">
        <v>232</v>
      </c>
      <c r="L43" s="35">
        <v>4</v>
      </c>
      <c r="M43" s="35">
        <f t="shared" si="30"/>
        <v>20</v>
      </c>
      <c r="N43" s="35">
        <v>100</v>
      </c>
      <c r="O43" s="55" t="s">
        <v>34</v>
      </c>
      <c r="P43" s="56">
        <v>1.1000000000000001E-3</v>
      </c>
      <c r="Q43" s="56">
        <f t="shared" si="31"/>
        <v>0.11</v>
      </c>
      <c r="R43" s="35"/>
      <c r="S43" s="59"/>
    </row>
    <row r="44" spans="1:19">
      <c r="A44" s="2"/>
      <c r="B44" s="36">
        <f t="shared" si="29"/>
        <v>35</v>
      </c>
      <c r="C44" s="34" t="s">
        <v>173</v>
      </c>
      <c r="D44" s="35" t="s">
        <v>233</v>
      </c>
      <c r="E44" s="37" t="s">
        <v>234</v>
      </c>
      <c r="F44" s="37" t="s">
        <v>176</v>
      </c>
      <c r="G44" s="37" t="s">
        <v>235</v>
      </c>
      <c r="H44" s="37" t="s">
        <v>30</v>
      </c>
      <c r="I44" s="37" t="s">
        <v>31</v>
      </c>
      <c r="J44" s="37" t="s">
        <v>236</v>
      </c>
      <c r="K44" s="37" t="s">
        <v>237</v>
      </c>
      <c r="L44" s="37">
        <v>2</v>
      </c>
      <c r="M44" s="37">
        <f t="shared" ref="M44:M45" si="32">L44*5</f>
        <v>10</v>
      </c>
      <c r="N44" s="37">
        <v>100</v>
      </c>
      <c r="O44" s="55" t="s">
        <v>34</v>
      </c>
      <c r="P44" s="56">
        <v>1.1999999999999999E-3</v>
      </c>
      <c r="Q44" s="53">
        <f t="shared" ref="Q44:Q45" si="33">P44*N44</f>
        <v>0.12</v>
      </c>
      <c r="R44" s="37"/>
      <c r="S44" s="59"/>
    </row>
    <row r="45" spans="1:19" ht="48">
      <c r="A45" s="2"/>
      <c r="B45" s="33">
        <f t="shared" si="29"/>
        <v>36</v>
      </c>
      <c r="C45" s="34" t="s">
        <v>238</v>
      </c>
      <c r="D45" s="35" t="s">
        <v>239</v>
      </c>
      <c r="E45" s="35" t="s">
        <v>240</v>
      </c>
      <c r="F45" s="35" t="s">
        <v>241</v>
      </c>
      <c r="G45" s="35" t="s">
        <v>241</v>
      </c>
      <c r="H45" s="35" t="s">
        <v>242</v>
      </c>
      <c r="I45" s="35" t="s">
        <v>31</v>
      </c>
      <c r="J45" s="35" t="s">
        <v>243</v>
      </c>
      <c r="K45" s="35" t="s">
        <v>31</v>
      </c>
      <c r="L45" s="35">
        <v>1</v>
      </c>
      <c r="M45" s="35">
        <f t="shared" si="32"/>
        <v>5</v>
      </c>
      <c r="N45" s="37">
        <v>20</v>
      </c>
      <c r="O45" s="55" t="s">
        <v>34</v>
      </c>
      <c r="P45" s="56">
        <v>2.1700000000000001E-2</v>
      </c>
      <c r="Q45" s="56">
        <f t="shared" si="33"/>
        <v>0.434</v>
      </c>
      <c r="R45" s="35"/>
      <c r="S45" s="59"/>
    </row>
    <row r="46" spans="1:19" ht="24">
      <c r="A46" s="2"/>
      <c r="B46" s="36">
        <f t="shared" si="29"/>
        <v>37</v>
      </c>
      <c r="C46" s="38" t="s">
        <v>244</v>
      </c>
      <c r="D46" s="37" t="s">
        <v>245</v>
      </c>
      <c r="E46" s="66" t="s">
        <v>246</v>
      </c>
      <c r="F46" s="37" t="s">
        <v>247</v>
      </c>
      <c r="G46" s="37" t="s">
        <v>247</v>
      </c>
      <c r="H46" s="37" t="s">
        <v>248</v>
      </c>
      <c r="I46" s="35" t="s">
        <v>31</v>
      </c>
      <c r="J46" s="37" t="s">
        <v>31</v>
      </c>
      <c r="K46" s="35" t="s">
        <v>31</v>
      </c>
      <c r="L46" s="37">
        <v>4</v>
      </c>
      <c r="M46" s="37">
        <f t="shared" ref="M46:M47" si="34">L46*5</f>
        <v>20</v>
      </c>
      <c r="N46" s="35">
        <v>21</v>
      </c>
      <c r="O46" s="67" t="s">
        <v>34</v>
      </c>
      <c r="P46" s="56">
        <v>0.61</v>
      </c>
      <c r="Q46" s="53">
        <f t="shared" ref="Q46:Q47" si="35">P46*N46</f>
        <v>12.81</v>
      </c>
      <c r="R46" s="37"/>
      <c r="S46" s="59"/>
    </row>
    <row r="47" spans="1:19" ht="48">
      <c r="A47" s="2"/>
      <c r="B47" s="33">
        <f t="shared" si="29"/>
        <v>38</v>
      </c>
      <c r="C47" s="34" t="s">
        <v>238</v>
      </c>
      <c r="D47" s="35" t="s">
        <v>249</v>
      </c>
      <c r="E47" s="35" t="s">
        <v>250</v>
      </c>
      <c r="F47" s="35" t="s">
        <v>251</v>
      </c>
      <c r="G47" s="35" t="s">
        <v>252</v>
      </c>
      <c r="H47" s="35" t="s">
        <v>242</v>
      </c>
      <c r="I47" s="35" t="s">
        <v>31</v>
      </c>
      <c r="J47" s="35" t="s">
        <v>253</v>
      </c>
      <c r="K47" s="35" t="s">
        <v>31</v>
      </c>
      <c r="L47" s="35">
        <v>1</v>
      </c>
      <c r="M47" s="35">
        <f t="shared" si="34"/>
        <v>5</v>
      </c>
      <c r="N47" s="35">
        <v>10</v>
      </c>
      <c r="O47" s="55" t="s">
        <v>34</v>
      </c>
      <c r="P47" s="56">
        <v>4.02E-2</v>
      </c>
      <c r="Q47" s="56">
        <f t="shared" si="35"/>
        <v>0.40200000000000002</v>
      </c>
      <c r="R47" s="35"/>
      <c r="S47" s="59"/>
    </row>
    <row r="48" spans="1:19">
      <c r="A48" s="2"/>
      <c r="B48" s="36">
        <f t="shared" si="29"/>
        <v>39</v>
      </c>
      <c r="C48" s="38" t="s">
        <v>155</v>
      </c>
      <c r="D48" s="37" t="s">
        <v>254</v>
      </c>
      <c r="E48" s="37" t="s">
        <v>255</v>
      </c>
      <c r="F48" s="37" t="s">
        <v>256</v>
      </c>
      <c r="G48" s="37" t="s">
        <v>257</v>
      </c>
      <c r="H48" s="37" t="s">
        <v>258</v>
      </c>
      <c r="I48" s="35" t="s">
        <v>31</v>
      </c>
      <c r="J48" s="37" t="s">
        <v>259</v>
      </c>
      <c r="K48" s="35" t="s">
        <v>31</v>
      </c>
      <c r="L48" s="37">
        <v>1</v>
      </c>
      <c r="M48" s="37">
        <f t="shared" ref="M48:M49" si="36">L48*5</f>
        <v>5</v>
      </c>
      <c r="N48" s="37">
        <v>10</v>
      </c>
      <c r="O48" s="52" t="s">
        <v>34</v>
      </c>
      <c r="P48" s="53">
        <v>0.17599999999999999</v>
      </c>
      <c r="Q48" s="53">
        <f t="shared" ref="Q48:Q49" si="37">P48*N48</f>
        <v>1.76</v>
      </c>
      <c r="R48" s="37"/>
      <c r="S48" s="59"/>
    </row>
    <row r="49" spans="1:19" ht="24">
      <c r="A49" s="2"/>
      <c r="B49" s="33">
        <f t="shared" si="29"/>
        <v>40</v>
      </c>
      <c r="C49" s="34" t="s">
        <v>260</v>
      </c>
      <c r="D49" s="35" t="s">
        <v>261</v>
      </c>
      <c r="E49" s="35" t="s">
        <v>262</v>
      </c>
      <c r="F49" s="35" t="s">
        <v>263</v>
      </c>
      <c r="G49" s="35" t="s">
        <v>264</v>
      </c>
      <c r="H49" s="35" t="s">
        <v>265</v>
      </c>
      <c r="I49" s="35" t="s">
        <v>31</v>
      </c>
      <c r="J49" s="35" t="s">
        <v>266</v>
      </c>
      <c r="K49" s="35" t="s">
        <v>31</v>
      </c>
      <c r="L49" s="35">
        <v>1</v>
      </c>
      <c r="M49" s="35">
        <f t="shared" si="36"/>
        <v>5</v>
      </c>
      <c r="N49" s="35">
        <v>6</v>
      </c>
      <c r="O49" s="55" t="s">
        <v>34</v>
      </c>
      <c r="P49" s="56">
        <v>0.41689999999999999</v>
      </c>
      <c r="Q49" s="56">
        <f t="shared" si="37"/>
        <v>2.5013999999999998</v>
      </c>
      <c r="R49" s="35"/>
      <c r="S49" s="59"/>
    </row>
    <row r="50" spans="1:19" ht="36">
      <c r="A50" s="2"/>
      <c r="B50" s="36">
        <f t="shared" si="29"/>
        <v>41</v>
      </c>
      <c r="C50" s="38" t="s">
        <v>260</v>
      </c>
      <c r="D50" s="37" t="s">
        <v>267</v>
      </c>
      <c r="E50" s="37" t="s">
        <v>268</v>
      </c>
      <c r="F50" s="37" t="s">
        <v>269</v>
      </c>
      <c r="G50" s="37" t="s">
        <v>270</v>
      </c>
      <c r="H50" s="37" t="s">
        <v>265</v>
      </c>
      <c r="I50" s="35" t="s">
        <v>31</v>
      </c>
      <c r="J50" s="37" t="s">
        <v>271</v>
      </c>
      <c r="K50" s="35" t="s">
        <v>31</v>
      </c>
      <c r="L50" s="37">
        <v>1</v>
      </c>
      <c r="M50" s="37">
        <f t="shared" ref="M50:M51" si="38">L50*5</f>
        <v>5</v>
      </c>
      <c r="N50" s="37">
        <v>6</v>
      </c>
      <c r="O50" s="52" t="s">
        <v>34</v>
      </c>
      <c r="P50" s="53">
        <v>0.60460000000000003</v>
      </c>
      <c r="Q50" s="53">
        <f t="shared" ref="Q50:Q51" si="39">P50*N50</f>
        <v>3.6276000000000002</v>
      </c>
      <c r="R50" s="37"/>
      <c r="S50" s="59"/>
    </row>
    <row r="51" spans="1:19">
      <c r="A51" s="2"/>
      <c r="B51" s="33">
        <f t="shared" si="29"/>
        <v>42</v>
      </c>
      <c r="C51" s="34" t="s">
        <v>272</v>
      </c>
      <c r="D51" s="35" t="s">
        <v>273</v>
      </c>
      <c r="E51" s="35" t="s">
        <v>274</v>
      </c>
      <c r="F51" s="35" t="s">
        <v>275</v>
      </c>
      <c r="G51" s="35" t="s">
        <v>276</v>
      </c>
      <c r="H51" s="35" t="s">
        <v>277</v>
      </c>
      <c r="I51" s="35" t="s">
        <v>31</v>
      </c>
      <c r="J51" s="35" t="s">
        <v>278</v>
      </c>
      <c r="K51" s="35" t="s">
        <v>31</v>
      </c>
      <c r="L51" s="35">
        <v>1</v>
      </c>
      <c r="M51" s="35">
        <f t="shared" si="38"/>
        <v>5</v>
      </c>
      <c r="N51" s="35">
        <v>6</v>
      </c>
      <c r="O51" s="55" t="s">
        <v>34</v>
      </c>
      <c r="P51" s="56">
        <v>3.3075000000000001</v>
      </c>
      <c r="Q51" s="56">
        <f t="shared" si="39"/>
        <v>19.844999999999999</v>
      </c>
      <c r="R51" s="35"/>
      <c r="S51" s="59"/>
    </row>
    <row r="52" spans="1:19" ht="24">
      <c r="A52" s="2"/>
      <c r="B52" s="36">
        <f t="shared" si="29"/>
        <v>43</v>
      </c>
      <c r="C52" s="38" t="s">
        <v>260</v>
      </c>
      <c r="D52" s="37" t="s">
        <v>279</v>
      </c>
      <c r="E52" s="37" t="s">
        <v>280</v>
      </c>
      <c r="F52" s="37" t="s">
        <v>281</v>
      </c>
      <c r="G52" s="37" t="s">
        <v>282</v>
      </c>
      <c r="H52" s="37" t="s">
        <v>283</v>
      </c>
      <c r="I52" s="35" t="s">
        <v>31</v>
      </c>
      <c r="J52" s="37" t="s">
        <v>284</v>
      </c>
      <c r="K52" s="35" t="s">
        <v>31</v>
      </c>
      <c r="L52" s="37">
        <v>1</v>
      </c>
      <c r="M52" s="37">
        <f t="shared" ref="M52:M53" si="40">L52*5</f>
        <v>5</v>
      </c>
      <c r="N52" s="37">
        <v>6</v>
      </c>
      <c r="O52" s="52" t="s">
        <v>34</v>
      </c>
      <c r="P52" s="53">
        <v>0.1268</v>
      </c>
      <c r="Q52" s="53">
        <f t="shared" ref="Q52:Q53" si="41">P52*N52</f>
        <v>0.76080000000000003</v>
      </c>
      <c r="R52" s="37"/>
      <c r="S52" s="59"/>
    </row>
    <row r="53" spans="1:19">
      <c r="A53" s="2"/>
      <c r="B53" s="33">
        <f t="shared" si="29"/>
        <v>44</v>
      </c>
      <c r="C53" s="34" t="s">
        <v>260</v>
      </c>
      <c r="D53" s="35" t="s">
        <v>285</v>
      </c>
      <c r="E53" s="35" t="s">
        <v>286</v>
      </c>
      <c r="F53" s="35" t="s">
        <v>287</v>
      </c>
      <c r="G53" s="35" t="s">
        <v>288</v>
      </c>
      <c r="H53" s="35" t="s">
        <v>289</v>
      </c>
      <c r="I53" s="35" t="s">
        <v>31</v>
      </c>
      <c r="J53" s="35" t="s">
        <v>290</v>
      </c>
      <c r="K53" s="35" t="s">
        <v>31</v>
      </c>
      <c r="L53" s="35">
        <v>1</v>
      </c>
      <c r="M53" s="35">
        <f t="shared" si="40"/>
        <v>5</v>
      </c>
      <c r="N53" s="35">
        <v>6</v>
      </c>
      <c r="O53" s="55" t="s">
        <v>34</v>
      </c>
      <c r="P53" s="56">
        <v>1.4398</v>
      </c>
      <c r="Q53" s="56">
        <f t="shared" si="41"/>
        <v>8.6387999999999998</v>
      </c>
      <c r="R53" s="35"/>
      <c r="S53" s="59"/>
    </row>
    <row r="54" spans="1:19">
      <c r="A54" s="2"/>
      <c r="B54" s="36">
        <f t="shared" si="29"/>
        <v>45</v>
      </c>
      <c r="C54" s="38" t="s">
        <v>260</v>
      </c>
      <c r="D54" s="37" t="s">
        <v>291</v>
      </c>
      <c r="E54" s="37" t="s">
        <v>292</v>
      </c>
      <c r="F54" s="37" t="s">
        <v>293</v>
      </c>
      <c r="G54" s="37" t="s">
        <v>294</v>
      </c>
      <c r="H54" s="37" t="s">
        <v>289</v>
      </c>
      <c r="I54" s="35" t="s">
        <v>31</v>
      </c>
      <c r="J54" s="37" t="s">
        <v>295</v>
      </c>
      <c r="K54" s="35" t="s">
        <v>31</v>
      </c>
      <c r="L54" s="37">
        <v>1</v>
      </c>
      <c r="M54" s="37">
        <f t="shared" ref="M54:M56" si="42">L54*5</f>
        <v>5</v>
      </c>
      <c r="N54" s="37">
        <v>6</v>
      </c>
      <c r="O54" s="52" t="s">
        <v>34</v>
      </c>
      <c r="P54" s="53">
        <v>1.05</v>
      </c>
      <c r="Q54" s="53">
        <f t="shared" ref="Q54:Q55" si="43">P54*N54</f>
        <v>6.3</v>
      </c>
      <c r="R54" s="37"/>
      <c r="S54" s="60"/>
    </row>
    <row r="55" spans="1:19">
      <c r="A55" s="2"/>
      <c r="B55" s="36">
        <f t="shared" si="29"/>
        <v>46</v>
      </c>
      <c r="C55" s="34" t="s">
        <v>296</v>
      </c>
      <c r="D55" s="35" t="s">
        <v>297</v>
      </c>
      <c r="E55" s="35" t="s">
        <v>298</v>
      </c>
      <c r="F55" s="35" t="s">
        <v>31</v>
      </c>
      <c r="G55" s="35" t="s">
        <v>299</v>
      </c>
      <c r="H55" s="35" t="s">
        <v>31</v>
      </c>
      <c r="I55" s="35" t="s">
        <v>31</v>
      </c>
      <c r="J55" s="35" t="s">
        <v>300</v>
      </c>
      <c r="K55" s="35" t="s">
        <v>31</v>
      </c>
      <c r="L55" s="35">
        <v>1</v>
      </c>
      <c r="M55" s="35">
        <f t="shared" si="42"/>
        <v>5</v>
      </c>
      <c r="N55" s="35">
        <v>6</v>
      </c>
      <c r="O55" s="55" t="s">
        <v>34</v>
      </c>
      <c r="P55" s="56">
        <v>1.9410000000000001</v>
      </c>
      <c r="Q55" s="56">
        <f t="shared" si="43"/>
        <v>11.646000000000001</v>
      </c>
      <c r="R55" s="61"/>
      <c r="S55" s="62"/>
    </row>
    <row r="56" spans="1:19" ht="48">
      <c r="A56" s="2"/>
      <c r="B56" s="36">
        <f t="shared" si="29"/>
        <v>47</v>
      </c>
      <c r="C56" s="34" t="s">
        <v>301</v>
      </c>
      <c r="D56" s="35" t="s">
        <v>297</v>
      </c>
      <c r="E56" s="35" t="s">
        <v>302</v>
      </c>
      <c r="F56" s="37" t="s">
        <v>31</v>
      </c>
      <c r="G56" s="37" t="s">
        <v>31</v>
      </c>
      <c r="H56" s="37" t="s">
        <v>31</v>
      </c>
      <c r="I56" s="37" t="s">
        <v>31</v>
      </c>
      <c r="J56" s="37" t="s">
        <v>31</v>
      </c>
      <c r="K56" s="37" t="s">
        <v>31</v>
      </c>
      <c r="L56" s="37">
        <v>1</v>
      </c>
      <c r="M56" s="35">
        <f t="shared" si="42"/>
        <v>5</v>
      </c>
      <c r="N56" s="37">
        <v>5</v>
      </c>
      <c r="O56" s="55" t="s">
        <v>303</v>
      </c>
      <c r="P56" s="53">
        <v>3.08</v>
      </c>
      <c r="Q56" s="53">
        <f t="shared" ref="Q56" si="44">P56*N56</f>
        <v>15.4</v>
      </c>
      <c r="R56" s="37"/>
      <c r="S56" s="59"/>
    </row>
    <row r="57" spans="1:19" ht="60">
      <c r="A57" s="2"/>
      <c r="B57" s="36">
        <f t="shared" si="29"/>
        <v>48</v>
      </c>
      <c r="C57" s="34" t="s">
        <v>304</v>
      </c>
      <c r="D57" s="35" t="s">
        <v>297</v>
      </c>
      <c r="E57" s="35" t="s">
        <v>305</v>
      </c>
      <c r="F57" s="37" t="s">
        <v>31</v>
      </c>
      <c r="G57" s="37" t="s">
        <v>31</v>
      </c>
      <c r="H57" s="37" t="s">
        <v>31</v>
      </c>
      <c r="I57" s="37" t="s">
        <v>31</v>
      </c>
      <c r="J57" s="37" t="s">
        <v>31</v>
      </c>
      <c r="K57" s="37" t="s">
        <v>31</v>
      </c>
      <c r="L57" s="37">
        <v>1</v>
      </c>
      <c r="M57" s="35">
        <f t="shared" ref="M57:M60" si="45">L57*5</f>
        <v>5</v>
      </c>
      <c r="N57" s="37">
        <v>1</v>
      </c>
      <c r="O57" s="55" t="s">
        <v>303</v>
      </c>
      <c r="P57" s="53">
        <v>0.66</v>
      </c>
      <c r="Q57" s="53">
        <f t="shared" ref="Q57:Q60" si="46">P57*N57</f>
        <v>0.66</v>
      </c>
      <c r="R57" s="37"/>
      <c r="S57" s="59"/>
    </row>
    <row r="58" spans="1:19" s="1" customFormat="1">
      <c r="A58" s="32"/>
      <c r="B58" s="36">
        <f t="shared" si="29"/>
        <v>49</v>
      </c>
      <c r="C58" s="83" t="s">
        <v>332</v>
      </c>
      <c r="D58" s="84" t="s">
        <v>297</v>
      </c>
      <c r="E58" s="66" t="s">
        <v>333</v>
      </c>
      <c r="F58" s="37" t="s">
        <v>31</v>
      </c>
      <c r="G58" s="66" t="s">
        <v>334</v>
      </c>
      <c r="H58" s="37" t="s">
        <v>31</v>
      </c>
      <c r="I58" s="37" t="s">
        <v>31</v>
      </c>
      <c r="J58" s="37" t="s">
        <v>31</v>
      </c>
      <c r="K58" s="37" t="s">
        <v>31</v>
      </c>
      <c r="L58" s="37">
        <v>3</v>
      </c>
      <c r="M58" s="35">
        <f t="shared" si="45"/>
        <v>15</v>
      </c>
      <c r="N58" s="37">
        <v>50</v>
      </c>
      <c r="O58" s="55" t="s">
        <v>303</v>
      </c>
      <c r="P58" s="53">
        <v>2.5399999999999999E-2</v>
      </c>
      <c r="Q58" s="53">
        <f t="shared" si="46"/>
        <v>1.27</v>
      </c>
      <c r="R58" s="37"/>
      <c r="S58" s="59"/>
    </row>
    <row r="59" spans="1:19" s="1" customFormat="1">
      <c r="A59" s="32"/>
      <c r="B59" s="36">
        <f t="shared" si="29"/>
        <v>50</v>
      </c>
      <c r="C59" s="85"/>
      <c r="D59" s="86"/>
      <c r="E59" s="66" t="s">
        <v>335</v>
      </c>
      <c r="F59" s="37" t="s">
        <v>31</v>
      </c>
      <c r="G59" s="66" t="s">
        <v>336</v>
      </c>
      <c r="H59" s="37" t="s">
        <v>31</v>
      </c>
      <c r="I59" s="37" t="s">
        <v>31</v>
      </c>
      <c r="J59" s="37" t="s">
        <v>31</v>
      </c>
      <c r="K59" s="37" t="s">
        <v>31</v>
      </c>
      <c r="L59" s="37">
        <v>2</v>
      </c>
      <c r="M59" s="35">
        <f t="shared" si="45"/>
        <v>10</v>
      </c>
      <c r="N59" s="37">
        <v>50</v>
      </c>
      <c r="O59" s="55" t="s">
        <v>303</v>
      </c>
      <c r="P59" s="53">
        <v>3.6799999999999999E-2</v>
      </c>
      <c r="Q59" s="53">
        <f t="shared" si="46"/>
        <v>1.8399999999999999</v>
      </c>
      <c r="R59" s="37"/>
      <c r="S59" s="59"/>
    </row>
    <row r="60" spans="1:19" s="1" customFormat="1" ht="15.75" thickBot="1">
      <c r="A60" s="32"/>
      <c r="B60" s="36">
        <f t="shared" si="29"/>
        <v>51</v>
      </c>
      <c r="C60" s="87"/>
      <c r="D60" s="88"/>
      <c r="E60" s="66" t="s">
        <v>337</v>
      </c>
      <c r="F60" s="37" t="s">
        <v>31</v>
      </c>
      <c r="G60" s="66" t="s">
        <v>338</v>
      </c>
      <c r="H60" s="37" t="s">
        <v>31</v>
      </c>
      <c r="I60" s="37" t="s">
        <v>31</v>
      </c>
      <c r="J60" s="37" t="s">
        <v>31</v>
      </c>
      <c r="K60" s="37" t="s">
        <v>31</v>
      </c>
      <c r="L60" s="37">
        <v>4</v>
      </c>
      <c r="M60" s="35">
        <f t="shared" si="45"/>
        <v>20</v>
      </c>
      <c r="N60" s="82">
        <v>50</v>
      </c>
      <c r="O60" s="55" t="s">
        <v>303</v>
      </c>
      <c r="P60" s="53">
        <v>1.44E-2</v>
      </c>
      <c r="Q60" s="53">
        <f t="shared" si="46"/>
        <v>0.72</v>
      </c>
      <c r="R60" s="37"/>
      <c r="S60" s="59"/>
    </row>
    <row r="61" spans="1:19" ht="19.5" thickBot="1">
      <c r="A61" s="2"/>
      <c r="B61" s="41"/>
      <c r="C61" s="42"/>
      <c r="D61" s="43"/>
      <c r="E61" s="44"/>
      <c r="F61" s="45"/>
      <c r="G61" s="46"/>
      <c r="H61" s="45"/>
      <c r="I61" s="46"/>
      <c r="J61" s="45"/>
      <c r="K61" s="46"/>
      <c r="L61" s="46"/>
      <c r="M61" s="46"/>
      <c r="N61" s="74" t="s">
        <v>306</v>
      </c>
      <c r="O61" s="75"/>
      <c r="P61" s="75"/>
      <c r="Q61" s="63">
        <f>SUM(Q10:Q60)</f>
        <v>111.5895</v>
      </c>
      <c r="R61" s="78"/>
      <c r="S61" s="79"/>
    </row>
    <row r="62" spans="1:19" ht="18.75">
      <c r="A62" s="2"/>
      <c r="B62" s="47"/>
      <c r="C62" s="48"/>
      <c r="D62" s="49"/>
      <c r="E62" s="50"/>
      <c r="F62" s="50"/>
      <c r="G62" s="50"/>
      <c r="H62" s="50"/>
      <c r="I62" s="50"/>
      <c r="J62" s="50"/>
      <c r="K62" s="50"/>
      <c r="L62" s="50"/>
      <c r="M62" s="50"/>
      <c r="N62" s="74" t="s">
        <v>307</v>
      </c>
      <c r="O62" s="75"/>
      <c r="P62" s="75"/>
      <c r="Q62" s="64">
        <f>Q61/5</f>
        <v>22.317900000000002</v>
      </c>
      <c r="R62" s="80"/>
      <c r="S62" s="81"/>
    </row>
  </sheetData>
  <mergeCells count="7">
    <mergeCell ref="C58:C60"/>
    <mergeCell ref="D58:D60"/>
    <mergeCell ref="K1:S1"/>
    <mergeCell ref="N61:P61"/>
    <mergeCell ref="N62:P62"/>
    <mergeCell ref="S3:S8"/>
    <mergeCell ref="R61:S62"/>
  </mergeCells>
  <hyperlinks>
    <hyperlink ref="O55" r:id="rId1"/>
    <hyperlink ref="O57" r:id="rId2"/>
    <hyperlink ref="O12" r:id="rId3"/>
    <hyperlink ref="O15" r:id="rId4"/>
    <hyperlink ref="O10" r:id="rId5"/>
    <hyperlink ref="O11" r:id="rId6"/>
    <hyperlink ref="O14" r:id="rId7"/>
    <hyperlink ref="O13" r:id="rId8"/>
    <hyperlink ref="O18" r:id="rId9"/>
    <hyperlink ref="O23" r:id="rId10"/>
    <hyperlink ref="O22" r:id="rId11"/>
    <hyperlink ref="O24" r:id="rId12"/>
    <hyperlink ref="O17" r:id="rId13"/>
    <hyperlink ref="O19" r:id="rId14"/>
    <hyperlink ref="O21" r:id="rId15"/>
    <hyperlink ref="O26" r:id="rId16"/>
    <hyperlink ref="O27" r:id="rId17"/>
    <hyperlink ref="O25" r:id="rId18"/>
    <hyperlink ref="O20" r:id="rId19"/>
    <hyperlink ref="O28" r:id="rId20"/>
    <hyperlink ref="O29" r:id="rId21"/>
    <hyperlink ref="O30" r:id="rId22"/>
    <hyperlink ref="O31" r:id="rId23"/>
    <hyperlink ref="O33" r:id="rId24"/>
    <hyperlink ref="O32" r:id="rId25"/>
    <hyperlink ref="O36" r:id="rId26"/>
    <hyperlink ref="O40" r:id="rId27"/>
    <hyperlink ref="O34" r:id="rId28"/>
    <hyperlink ref="O35" r:id="rId29"/>
    <hyperlink ref="O37" r:id="rId30"/>
    <hyperlink ref="O39" r:id="rId31"/>
    <hyperlink ref="O38" r:id="rId32"/>
    <hyperlink ref="O41" r:id="rId33"/>
    <hyperlink ref="O45" r:id="rId34"/>
    <hyperlink ref="O47" r:id="rId35"/>
    <hyperlink ref="O48" r:id="rId36"/>
    <hyperlink ref="O49" r:id="rId37"/>
    <hyperlink ref="O50" r:id="rId38"/>
    <hyperlink ref="O46" r:id="rId39"/>
    <hyperlink ref="O44" r:id="rId40"/>
    <hyperlink ref="O42" r:id="rId41"/>
    <hyperlink ref="O43" r:id="rId42"/>
    <hyperlink ref="O51" r:id="rId43"/>
    <hyperlink ref="O52" r:id="rId44"/>
    <hyperlink ref="O53" r:id="rId45"/>
    <hyperlink ref="O54" r:id="rId46"/>
    <hyperlink ref="O56" r:id="rId47"/>
    <hyperlink ref="O16" r:id="rId48"/>
    <hyperlink ref="O58" r:id="rId49"/>
    <hyperlink ref="O59" r:id="rId50"/>
    <hyperlink ref="O60" r:id="rId51"/>
  </hyperlinks>
  <pageMargins left="0.7" right="0.7" top="0.75" bottom="0.75" header="0.3" footer="0.3"/>
  <pageSetup paperSize="9" orientation="portrait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63"/>
  <sheetViews>
    <sheetView topLeftCell="F47" workbookViewId="0">
      <selection activeCell="Q63" sqref="Q63"/>
    </sheetView>
  </sheetViews>
  <sheetFormatPr defaultColWidth="9" defaultRowHeight="15"/>
  <cols>
    <col min="2" max="2" width="3" customWidth="1"/>
    <col min="3" max="3" width="15.5703125" customWidth="1"/>
    <col min="4" max="4" width="31.140625" customWidth="1"/>
    <col min="5" max="5" width="36.42578125" customWidth="1"/>
    <col min="6" max="6" width="23.85546875" customWidth="1"/>
    <col min="7" max="7" width="25.28515625" customWidth="1"/>
    <col min="8" max="8" width="13.28515625" customWidth="1"/>
    <col min="9" max="9" width="21.5703125" customWidth="1"/>
    <col min="10" max="10" width="17" customWidth="1"/>
    <col min="11" max="11" width="6.85546875" customWidth="1"/>
    <col min="12" max="12" width="8.7109375" customWidth="1"/>
    <col min="13" max="13" width="20.28515625" customWidth="1"/>
    <col min="14" max="14" width="17.28515625" customWidth="1"/>
    <col min="15" max="15" width="12.5703125" customWidth="1"/>
    <col min="16" max="16" width="20.7109375" customWidth="1"/>
    <col min="17" max="17" width="21.42578125" customWidth="1"/>
    <col min="18" max="18" width="8.5703125" customWidth="1"/>
    <col min="19" max="19" width="26.28515625" customWidth="1"/>
  </cols>
  <sheetData>
    <row r="1" spans="1:19">
      <c r="A1" s="2"/>
      <c r="B1" s="3"/>
      <c r="C1" s="3"/>
      <c r="D1" s="4"/>
      <c r="E1" s="4"/>
      <c r="F1" s="4"/>
      <c r="G1" s="4"/>
      <c r="H1" s="4"/>
      <c r="I1" s="4"/>
      <c r="J1" s="4"/>
      <c r="K1" s="72"/>
      <c r="L1" s="72"/>
      <c r="M1" s="72"/>
      <c r="N1" s="72"/>
      <c r="O1" s="72"/>
      <c r="P1" s="72"/>
      <c r="Q1" s="72"/>
      <c r="R1" s="72"/>
      <c r="S1" s="73"/>
    </row>
    <row r="2" spans="1:19" ht="31.5">
      <c r="A2" s="2"/>
      <c r="B2" s="5"/>
      <c r="C2" s="6"/>
      <c r="D2" s="7" t="s">
        <v>0</v>
      </c>
      <c r="E2" s="7"/>
      <c r="F2" s="69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57"/>
    </row>
    <row r="3" spans="1:19">
      <c r="A3" s="2"/>
      <c r="B3" s="10"/>
      <c r="C3" s="11"/>
      <c r="D3" s="12" t="s">
        <v>2</v>
      </c>
      <c r="E3" s="12"/>
      <c r="F3" s="70" t="s">
        <v>3</v>
      </c>
      <c r="G3" s="12"/>
      <c r="H3" s="13"/>
      <c r="I3" s="12"/>
      <c r="J3" s="13"/>
      <c r="K3" s="13"/>
      <c r="L3" s="13"/>
      <c r="M3" s="13"/>
      <c r="N3" s="13"/>
      <c r="O3" s="13"/>
      <c r="P3" s="13"/>
      <c r="Q3" s="13"/>
      <c r="R3" s="13"/>
      <c r="S3" s="76"/>
    </row>
    <row r="4" spans="1:19">
      <c r="A4" s="2"/>
      <c r="B4" s="10"/>
      <c r="C4" s="11"/>
      <c r="D4" s="12" t="s">
        <v>4</v>
      </c>
      <c r="E4" s="12"/>
      <c r="F4" s="70" t="s">
        <v>3</v>
      </c>
      <c r="G4" s="14"/>
      <c r="H4" s="15"/>
      <c r="I4" s="14"/>
      <c r="J4" s="15"/>
      <c r="K4" s="15"/>
      <c r="L4" s="17"/>
      <c r="M4" s="17"/>
      <c r="N4" s="17"/>
      <c r="O4" s="17"/>
      <c r="P4" s="17"/>
      <c r="Q4" s="17"/>
      <c r="R4" s="17"/>
      <c r="S4" s="77"/>
    </row>
    <row r="5" spans="1:19">
      <c r="A5" s="2"/>
      <c r="B5" s="10"/>
      <c r="C5" s="11"/>
      <c r="D5" s="12" t="s">
        <v>5</v>
      </c>
      <c r="E5" s="12"/>
      <c r="F5" s="71" t="s">
        <v>6</v>
      </c>
      <c r="G5" s="16"/>
      <c r="H5" s="17"/>
      <c r="I5" s="16"/>
      <c r="J5" s="17"/>
      <c r="K5" s="17"/>
      <c r="L5" s="17"/>
      <c r="M5" s="17"/>
      <c r="N5" s="17"/>
      <c r="O5" s="17"/>
      <c r="P5" s="17"/>
      <c r="Q5" s="17"/>
      <c r="R5" s="17"/>
      <c r="S5" s="77"/>
    </row>
    <row r="6" spans="1:19">
      <c r="A6" s="2"/>
      <c r="B6" s="18"/>
      <c r="C6" s="19"/>
      <c r="D6" s="20"/>
      <c r="E6" s="20"/>
      <c r="F6" s="21"/>
      <c r="G6" s="16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77"/>
    </row>
    <row r="7" spans="1:19">
      <c r="A7" s="2"/>
      <c r="B7" s="22"/>
      <c r="C7" s="23"/>
      <c r="D7" s="24"/>
      <c r="E7" s="24"/>
      <c r="F7" s="25"/>
      <c r="G7" s="24"/>
      <c r="H7" s="26"/>
      <c r="I7" s="24"/>
      <c r="J7" s="26"/>
      <c r="K7" s="26"/>
      <c r="L7" s="26"/>
      <c r="M7" s="26"/>
      <c r="N7" s="26"/>
      <c r="O7" s="26"/>
      <c r="P7" s="26"/>
      <c r="Q7" s="26"/>
      <c r="R7" s="26"/>
      <c r="S7" s="77"/>
    </row>
    <row r="8" spans="1:19">
      <c r="A8" s="2"/>
      <c r="B8" s="27"/>
      <c r="C8" s="28"/>
      <c r="D8" s="29"/>
      <c r="E8" s="29"/>
      <c r="F8" s="30"/>
      <c r="G8" s="24"/>
      <c r="H8" s="26"/>
      <c r="I8" s="24"/>
      <c r="J8" s="26"/>
      <c r="K8" s="26"/>
      <c r="L8" s="26"/>
      <c r="M8" s="26"/>
      <c r="N8" s="26"/>
      <c r="O8" s="26"/>
      <c r="P8" s="26"/>
      <c r="Q8" s="26"/>
      <c r="R8" s="26"/>
      <c r="S8" s="77"/>
    </row>
    <row r="9" spans="1:19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  <c r="M9" s="31" t="s">
        <v>308</v>
      </c>
      <c r="N9" s="31" t="s">
        <v>309</v>
      </c>
      <c r="O9" s="31" t="s">
        <v>20</v>
      </c>
      <c r="P9" s="31" t="s">
        <v>310</v>
      </c>
      <c r="Q9" s="31" t="s">
        <v>311</v>
      </c>
      <c r="R9" s="31" t="s">
        <v>23</v>
      </c>
      <c r="S9" s="31" t="s">
        <v>24</v>
      </c>
    </row>
    <row r="10" spans="1:19" s="1" customFormat="1">
      <c r="A10" s="32"/>
      <c r="B10" s="33">
        <f>ROW(B10)-ROW($B$9)</f>
        <v>1</v>
      </c>
      <c r="C10" s="34" t="s">
        <v>25</v>
      </c>
      <c r="D10" s="35" t="s">
        <v>26</v>
      </c>
      <c r="E10" s="35" t="s">
        <v>27</v>
      </c>
      <c r="F10" s="35" t="s">
        <v>28</v>
      </c>
      <c r="G10" s="35" t="s">
        <v>29</v>
      </c>
      <c r="H10" s="35" t="s">
        <v>30</v>
      </c>
      <c r="I10" s="35" t="s">
        <v>31</v>
      </c>
      <c r="J10" s="51" t="s">
        <v>32</v>
      </c>
      <c r="K10" s="35" t="s">
        <v>33</v>
      </c>
      <c r="L10" s="35">
        <v>6</v>
      </c>
      <c r="M10" s="35">
        <f>L10*100</f>
        <v>600</v>
      </c>
      <c r="N10" s="35">
        <v>620</v>
      </c>
      <c r="O10" s="52" t="s">
        <v>34</v>
      </c>
      <c r="P10" s="53">
        <v>2.58E-2</v>
      </c>
      <c r="Q10" s="56">
        <f>P10*N10</f>
        <v>15.996</v>
      </c>
      <c r="R10" s="35"/>
      <c r="S10" s="58"/>
    </row>
    <row r="11" spans="1:19" s="1" customFormat="1" ht="24">
      <c r="A11" s="32"/>
      <c r="B11" s="36">
        <f t="shared" ref="B11:B61" si="0">ROW(B11)-ROW($B$9)</f>
        <v>2</v>
      </c>
      <c r="C11" s="34" t="s">
        <v>25</v>
      </c>
      <c r="D11" s="37" t="s">
        <v>35</v>
      </c>
      <c r="E11" s="37" t="s">
        <v>36</v>
      </c>
      <c r="F11" s="37" t="s">
        <v>37</v>
      </c>
      <c r="G11" s="37" t="s">
        <v>38</v>
      </c>
      <c r="H11" s="37" t="s">
        <v>30</v>
      </c>
      <c r="I11" s="35" t="s">
        <v>31</v>
      </c>
      <c r="J11" s="54" t="s">
        <v>39</v>
      </c>
      <c r="K11" s="37" t="s">
        <v>40</v>
      </c>
      <c r="L11" s="37">
        <v>14</v>
      </c>
      <c r="M11" s="35">
        <f t="shared" ref="M11:M61" si="1">L11*100</f>
        <v>1400</v>
      </c>
      <c r="N11" s="37">
        <v>1500</v>
      </c>
      <c r="O11" s="52" t="s">
        <v>34</v>
      </c>
      <c r="P11" s="53">
        <v>1.5E-3</v>
      </c>
      <c r="Q11" s="53">
        <f t="shared" ref="Q11:Q12" si="2">P11*N11</f>
        <v>2.25</v>
      </c>
      <c r="R11" s="37"/>
      <c r="S11" s="37"/>
    </row>
    <row r="12" spans="1:19" s="1" customFormat="1">
      <c r="A12" s="32"/>
      <c r="B12" s="33">
        <f t="shared" si="0"/>
        <v>3</v>
      </c>
      <c r="C12" s="34" t="s">
        <v>25</v>
      </c>
      <c r="D12" s="35" t="s">
        <v>41</v>
      </c>
      <c r="E12" s="35" t="s">
        <v>42</v>
      </c>
      <c r="F12" s="35" t="s">
        <v>43</v>
      </c>
      <c r="G12" s="35" t="s">
        <v>44</v>
      </c>
      <c r="H12" s="35" t="s">
        <v>30</v>
      </c>
      <c r="I12" s="35" t="s">
        <v>31</v>
      </c>
      <c r="J12" s="51" t="s">
        <v>45</v>
      </c>
      <c r="K12" s="35" t="s">
        <v>46</v>
      </c>
      <c r="L12" s="35">
        <v>3</v>
      </c>
      <c r="M12" s="35">
        <f t="shared" si="1"/>
        <v>300</v>
      </c>
      <c r="N12" s="35">
        <v>350</v>
      </c>
      <c r="O12" s="55" t="s">
        <v>34</v>
      </c>
      <c r="P12" s="56">
        <v>1.66E-2</v>
      </c>
      <c r="Q12" s="56">
        <f t="shared" si="2"/>
        <v>5.81</v>
      </c>
      <c r="R12" s="35"/>
      <c r="S12" s="59"/>
    </row>
    <row r="13" spans="1:19" s="1" customFormat="1">
      <c r="A13" s="32"/>
      <c r="B13" s="36">
        <f t="shared" si="0"/>
        <v>4</v>
      </c>
      <c r="C13" s="34" t="s">
        <v>25</v>
      </c>
      <c r="D13" s="37" t="s">
        <v>47</v>
      </c>
      <c r="E13" s="37" t="s">
        <v>48</v>
      </c>
      <c r="F13" s="37" t="s">
        <v>37</v>
      </c>
      <c r="G13" s="37" t="s">
        <v>49</v>
      </c>
      <c r="H13" s="37" t="s">
        <v>30</v>
      </c>
      <c r="I13" s="35" t="s">
        <v>31</v>
      </c>
      <c r="J13" s="54" t="s">
        <v>50</v>
      </c>
      <c r="K13" s="37" t="s">
        <v>51</v>
      </c>
      <c r="L13" s="37">
        <v>2</v>
      </c>
      <c r="M13" s="35">
        <f t="shared" si="1"/>
        <v>200</v>
      </c>
      <c r="N13" s="35">
        <v>300</v>
      </c>
      <c r="O13" s="52" t="s">
        <v>34</v>
      </c>
      <c r="P13" s="53">
        <v>2.3E-3</v>
      </c>
      <c r="Q13" s="53">
        <f t="shared" ref="Q13:Q14" si="3">P13*N13</f>
        <v>0.69</v>
      </c>
      <c r="R13" s="37"/>
      <c r="S13" s="59"/>
    </row>
    <row r="14" spans="1:19" s="1" customFormat="1">
      <c r="A14" s="32"/>
      <c r="B14" s="33">
        <f t="shared" si="0"/>
        <v>5</v>
      </c>
      <c r="C14" s="34" t="s">
        <v>25</v>
      </c>
      <c r="D14" s="35" t="s">
        <v>52</v>
      </c>
      <c r="E14" s="35" t="s">
        <v>53</v>
      </c>
      <c r="F14" s="35" t="s">
        <v>43</v>
      </c>
      <c r="G14" s="35" t="s">
        <v>54</v>
      </c>
      <c r="H14" s="35" t="s">
        <v>30</v>
      </c>
      <c r="I14" s="35" t="s">
        <v>31</v>
      </c>
      <c r="J14" s="51" t="s">
        <v>55</v>
      </c>
      <c r="K14" s="35" t="s">
        <v>56</v>
      </c>
      <c r="L14" s="35">
        <v>4</v>
      </c>
      <c r="M14" s="35">
        <f t="shared" si="1"/>
        <v>400</v>
      </c>
      <c r="N14" s="37">
        <v>500</v>
      </c>
      <c r="O14" s="52" t="s">
        <v>34</v>
      </c>
      <c r="P14" s="53">
        <v>5.8999999999999999E-3</v>
      </c>
      <c r="Q14" s="56">
        <f t="shared" si="3"/>
        <v>2.95</v>
      </c>
      <c r="R14" s="35"/>
      <c r="S14" s="59"/>
    </row>
    <row r="15" spans="1:19" s="1" customFormat="1">
      <c r="A15" s="32"/>
      <c r="B15" s="36">
        <f t="shared" si="0"/>
        <v>6</v>
      </c>
      <c r="C15" s="34" t="s">
        <v>25</v>
      </c>
      <c r="D15" s="37" t="s">
        <v>57</v>
      </c>
      <c r="E15" s="37" t="s">
        <v>58</v>
      </c>
      <c r="F15" s="37" t="s">
        <v>43</v>
      </c>
      <c r="G15" s="37" t="s">
        <v>59</v>
      </c>
      <c r="H15" s="37" t="s">
        <v>30</v>
      </c>
      <c r="I15" s="35" t="s">
        <v>31</v>
      </c>
      <c r="J15" s="54" t="s">
        <v>60</v>
      </c>
      <c r="K15" s="37" t="s">
        <v>61</v>
      </c>
      <c r="L15" s="37">
        <v>4</v>
      </c>
      <c r="M15" s="35">
        <f t="shared" si="1"/>
        <v>400</v>
      </c>
      <c r="N15" s="35">
        <v>410</v>
      </c>
      <c r="O15" s="52" t="s">
        <v>34</v>
      </c>
      <c r="P15" s="53">
        <v>4.2099999999999999E-2</v>
      </c>
      <c r="Q15" s="53">
        <f t="shared" ref="Q15:Q17" si="4">P15*N15</f>
        <v>17.260999999999999</v>
      </c>
      <c r="R15" s="37"/>
      <c r="S15" s="59"/>
    </row>
    <row r="16" spans="1:19">
      <c r="A16" s="2"/>
      <c r="B16" s="36">
        <f t="shared" si="0"/>
        <v>7</v>
      </c>
      <c r="C16" s="34" t="s">
        <v>25</v>
      </c>
      <c r="D16" s="35" t="s">
        <v>62</v>
      </c>
      <c r="E16" s="35" t="s">
        <v>63</v>
      </c>
      <c r="F16" s="35" t="s">
        <v>64</v>
      </c>
      <c r="G16" s="35" t="s">
        <v>65</v>
      </c>
      <c r="H16" s="35" t="s">
        <v>30</v>
      </c>
      <c r="I16" s="35" t="s">
        <v>31</v>
      </c>
      <c r="J16" s="35" t="s">
        <v>66</v>
      </c>
      <c r="K16" s="35" t="s">
        <v>67</v>
      </c>
      <c r="L16" s="35">
        <v>1</v>
      </c>
      <c r="M16" s="35">
        <f t="shared" si="1"/>
        <v>100</v>
      </c>
      <c r="N16" s="35">
        <v>150</v>
      </c>
      <c r="O16" s="55" t="s">
        <v>34</v>
      </c>
      <c r="P16" s="56">
        <v>1.9099999999999999E-2</v>
      </c>
      <c r="Q16" s="56">
        <f t="shared" si="4"/>
        <v>2.8650000000000002</v>
      </c>
      <c r="R16" s="35"/>
      <c r="S16" s="59"/>
    </row>
    <row r="17" spans="1:19" s="1" customFormat="1">
      <c r="A17" s="32"/>
      <c r="B17" s="33">
        <f t="shared" si="0"/>
        <v>8</v>
      </c>
      <c r="C17" s="34" t="s">
        <v>68</v>
      </c>
      <c r="D17" s="35" t="s">
        <v>69</v>
      </c>
      <c r="E17" s="35" t="s">
        <v>70</v>
      </c>
      <c r="F17" s="35" t="s">
        <v>71</v>
      </c>
      <c r="G17" s="35" t="s">
        <v>72</v>
      </c>
      <c r="H17" s="35" t="s">
        <v>73</v>
      </c>
      <c r="I17" s="35" t="s">
        <v>31</v>
      </c>
      <c r="J17" s="51" t="s">
        <v>74</v>
      </c>
      <c r="K17" s="35" t="s">
        <v>31</v>
      </c>
      <c r="L17" s="35">
        <v>1</v>
      </c>
      <c r="M17" s="35">
        <f t="shared" si="1"/>
        <v>100</v>
      </c>
      <c r="N17" s="35">
        <v>110</v>
      </c>
      <c r="O17" s="55" t="s">
        <v>34</v>
      </c>
      <c r="P17" s="56">
        <v>2.7400000000000001E-2</v>
      </c>
      <c r="Q17" s="56">
        <f t="shared" si="4"/>
        <v>3.0139999999999998</v>
      </c>
      <c r="R17" s="35"/>
      <c r="S17" s="59"/>
    </row>
    <row r="18" spans="1:19" s="1" customFormat="1" ht="36">
      <c r="A18" s="32"/>
      <c r="B18" s="36">
        <f t="shared" si="0"/>
        <v>9</v>
      </c>
      <c r="C18" s="34" t="s">
        <v>68</v>
      </c>
      <c r="D18" s="37" t="s">
        <v>75</v>
      </c>
      <c r="E18" s="37" t="s">
        <v>76</v>
      </c>
      <c r="F18" s="37" t="s">
        <v>77</v>
      </c>
      <c r="G18" s="37" t="s">
        <v>78</v>
      </c>
      <c r="H18" s="37" t="s">
        <v>79</v>
      </c>
      <c r="I18" s="35" t="s">
        <v>31</v>
      </c>
      <c r="J18" s="54" t="s">
        <v>80</v>
      </c>
      <c r="K18" s="35" t="s">
        <v>31</v>
      </c>
      <c r="L18" s="37">
        <v>1</v>
      </c>
      <c r="M18" s="35">
        <f t="shared" si="1"/>
        <v>100</v>
      </c>
      <c r="N18" s="35">
        <v>110</v>
      </c>
      <c r="O18" s="52" t="s">
        <v>34</v>
      </c>
      <c r="P18" s="53">
        <v>4.0399999999999998E-2</v>
      </c>
      <c r="Q18" s="53">
        <f t="shared" ref="Q18:Q19" si="5">P18*N18</f>
        <v>4.444</v>
      </c>
      <c r="R18" s="37"/>
      <c r="S18" s="59"/>
    </row>
    <row r="19" spans="1:19" s="1" customFormat="1" ht="24">
      <c r="A19" s="32"/>
      <c r="B19" s="33">
        <f t="shared" si="0"/>
        <v>10</v>
      </c>
      <c r="C19" s="34" t="s">
        <v>81</v>
      </c>
      <c r="D19" s="35" t="s">
        <v>82</v>
      </c>
      <c r="E19" s="35" t="s">
        <v>83</v>
      </c>
      <c r="F19" s="35" t="s">
        <v>84</v>
      </c>
      <c r="G19" s="35" t="s">
        <v>85</v>
      </c>
      <c r="H19" s="35" t="s">
        <v>86</v>
      </c>
      <c r="I19" s="35" t="s">
        <v>31</v>
      </c>
      <c r="J19" s="51" t="s">
        <v>87</v>
      </c>
      <c r="K19" s="35" t="s">
        <v>31</v>
      </c>
      <c r="L19" s="35">
        <v>1</v>
      </c>
      <c r="M19" s="35">
        <f t="shared" si="1"/>
        <v>100</v>
      </c>
      <c r="N19" s="37">
        <v>105</v>
      </c>
      <c r="O19" s="55" t="s">
        <v>34</v>
      </c>
      <c r="P19" s="56">
        <v>7.5999999999999998E-2</v>
      </c>
      <c r="Q19" s="56">
        <f t="shared" si="5"/>
        <v>7.98</v>
      </c>
      <c r="R19" s="35"/>
      <c r="S19" s="59"/>
    </row>
    <row r="20" spans="1:19" s="1" customFormat="1" ht="36">
      <c r="A20" s="32"/>
      <c r="B20" s="36">
        <f t="shared" si="0"/>
        <v>11</v>
      </c>
      <c r="C20" s="38" t="s">
        <v>88</v>
      </c>
      <c r="D20" s="37" t="s">
        <v>89</v>
      </c>
      <c r="E20" s="37" t="s">
        <v>90</v>
      </c>
      <c r="F20" s="37" t="s">
        <v>91</v>
      </c>
      <c r="G20" s="37" t="s">
        <v>92</v>
      </c>
      <c r="H20" s="37" t="s">
        <v>93</v>
      </c>
      <c r="I20" s="35" t="s">
        <v>31</v>
      </c>
      <c r="J20" s="54" t="s">
        <v>94</v>
      </c>
      <c r="K20" s="35" t="s">
        <v>31</v>
      </c>
      <c r="L20" s="37">
        <v>3</v>
      </c>
      <c r="M20" s="35">
        <f t="shared" si="1"/>
        <v>300</v>
      </c>
      <c r="N20" s="35">
        <v>400</v>
      </c>
      <c r="O20" s="55" t="s">
        <v>34</v>
      </c>
      <c r="P20" s="56">
        <v>7.1000000000000004E-3</v>
      </c>
      <c r="Q20" s="53">
        <f t="shared" ref="Q20:Q21" si="6">P20*N20</f>
        <v>2.84</v>
      </c>
      <c r="R20" s="37"/>
      <c r="S20" s="59"/>
    </row>
    <row r="21" spans="1:19" s="1" customFormat="1">
      <c r="A21" s="32"/>
      <c r="B21" s="33">
        <f t="shared" si="0"/>
        <v>12</v>
      </c>
      <c r="C21" s="34" t="s">
        <v>88</v>
      </c>
      <c r="D21" s="35" t="s">
        <v>95</v>
      </c>
      <c r="E21" s="35" t="s">
        <v>96</v>
      </c>
      <c r="F21" s="35" t="s">
        <v>97</v>
      </c>
      <c r="G21" s="35" t="s">
        <v>98</v>
      </c>
      <c r="H21" s="35" t="s">
        <v>93</v>
      </c>
      <c r="I21" s="35" t="s">
        <v>31</v>
      </c>
      <c r="J21" s="51" t="s">
        <v>99</v>
      </c>
      <c r="K21" s="35" t="s">
        <v>100</v>
      </c>
      <c r="L21" s="35">
        <v>1</v>
      </c>
      <c r="M21" s="35">
        <f t="shared" si="1"/>
        <v>100</v>
      </c>
      <c r="N21" s="37">
        <v>110</v>
      </c>
      <c r="O21" s="55" t="s">
        <v>34</v>
      </c>
      <c r="P21" s="56">
        <v>5.5199999999999999E-2</v>
      </c>
      <c r="Q21" s="56">
        <f t="shared" si="6"/>
        <v>6.0720000000000001</v>
      </c>
      <c r="R21" s="35"/>
      <c r="S21" s="59"/>
    </row>
    <row r="22" spans="1:19" s="1" customFormat="1" ht="24">
      <c r="A22" s="32"/>
      <c r="B22" s="36">
        <f t="shared" si="0"/>
        <v>13</v>
      </c>
      <c r="C22" s="38" t="s">
        <v>101</v>
      </c>
      <c r="D22" s="37" t="s">
        <v>102</v>
      </c>
      <c r="E22" s="37" t="s">
        <v>103</v>
      </c>
      <c r="F22" s="37" t="s">
        <v>312</v>
      </c>
      <c r="G22" s="37" t="s">
        <v>105</v>
      </c>
      <c r="H22" s="37" t="s">
        <v>106</v>
      </c>
      <c r="I22" s="35" t="s">
        <v>31</v>
      </c>
      <c r="J22" s="54" t="s">
        <v>107</v>
      </c>
      <c r="K22" s="37" t="s">
        <v>31</v>
      </c>
      <c r="L22" s="37">
        <v>1</v>
      </c>
      <c r="M22" s="35">
        <f t="shared" si="1"/>
        <v>100</v>
      </c>
      <c r="N22" s="35">
        <v>120</v>
      </c>
      <c r="O22" s="52" t="s">
        <v>34</v>
      </c>
      <c r="P22" s="53">
        <v>3.2800000000000003E-2</v>
      </c>
      <c r="Q22" s="53">
        <f t="shared" ref="Q22:Q23" si="7">P22*N22</f>
        <v>3.9359999999999999</v>
      </c>
      <c r="R22" s="37"/>
      <c r="S22" s="59"/>
    </row>
    <row r="23" spans="1:19" s="1" customFormat="1" ht="24">
      <c r="A23" s="32"/>
      <c r="B23" s="33">
        <f t="shared" si="0"/>
        <v>14</v>
      </c>
      <c r="C23" s="34" t="s">
        <v>108</v>
      </c>
      <c r="D23" s="35" t="s">
        <v>109</v>
      </c>
      <c r="E23" s="35" t="s">
        <v>110</v>
      </c>
      <c r="F23" s="37" t="s">
        <v>312</v>
      </c>
      <c r="G23" s="35" t="s">
        <v>112</v>
      </c>
      <c r="H23" s="35" t="s">
        <v>113</v>
      </c>
      <c r="I23" s="35" t="s">
        <v>31</v>
      </c>
      <c r="J23" s="51" t="s">
        <v>114</v>
      </c>
      <c r="K23" s="37" t="s">
        <v>31</v>
      </c>
      <c r="L23" s="35">
        <v>1</v>
      </c>
      <c r="M23" s="35">
        <f t="shared" si="1"/>
        <v>100</v>
      </c>
      <c r="N23" s="37">
        <v>105</v>
      </c>
      <c r="O23" s="55" t="s">
        <v>34</v>
      </c>
      <c r="P23" s="56">
        <v>0.12820000000000001</v>
      </c>
      <c r="Q23" s="56">
        <f t="shared" si="7"/>
        <v>13.461</v>
      </c>
      <c r="R23" s="35"/>
      <c r="S23" s="59"/>
    </row>
    <row r="24" spans="1:19" s="1" customFormat="1" ht="36">
      <c r="A24" s="32"/>
      <c r="B24" s="36">
        <f t="shared" si="0"/>
        <v>15</v>
      </c>
      <c r="C24" s="38" t="s">
        <v>115</v>
      </c>
      <c r="D24" s="37" t="s">
        <v>116</v>
      </c>
      <c r="E24" s="37" t="s">
        <v>117</v>
      </c>
      <c r="F24" s="37" t="s">
        <v>312</v>
      </c>
      <c r="G24" s="37" t="s">
        <v>119</v>
      </c>
      <c r="H24" s="37" t="s">
        <v>120</v>
      </c>
      <c r="I24" s="35" t="s">
        <v>31</v>
      </c>
      <c r="J24" s="54" t="s">
        <v>119</v>
      </c>
      <c r="K24" s="37" t="s">
        <v>31</v>
      </c>
      <c r="L24" s="37">
        <v>1</v>
      </c>
      <c r="M24" s="35">
        <f t="shared" si="1"/>
        <v>100</v>
      </c>
      <c r="N24" s="35">
        <v>108</v>
      </c>
      <c r="O24" s="55" t="s">
        <v>34</v>
      </c>
      <c r="P24" s="56">
        <v>6.8000000000000005E-2</v>
      </c>
      <c r="Q24" s="53">
        <f t="shared" ref="Q24:Q25" si="8">P24*N24</f>
        <v>7.3440000000000003</v>
      </c>
      <c r="R24" s="37"/>
      <c r="S24" s="59"/>
    </row>
    <row r="25" spans="1:19" s="1" customFormat="1" ht="24">
      <c r="A25" s="32"/>
      <c r="B25" s="33">
        <f t="shared" si="0"/>
        <v>16</v>
      </c>
      <c r="C25" s="34" t="s">
        <v>121</v>
      </c>
      <c r="D25" s="35" t="s">
        <v>122</v>
      </c>
      <c r="E25" s="35" t="s">
        <v>123</v>
      </c>
      <c r="F25" s="35" t="s">
        <v>124</v>
      </c>
      <c r="G25" s="39">
        <v>61300211121</v>
      </c>
      <c r="H25" s="35" t="s">
        <v>125</v>
      </c>
      <c r="I25" s="35" t="s">
        <v>126</v>
      </c>
      <c r="J25" s="51" t="s">
        <v>127</v>
      </c>
      <c r="K25" s="37" t="s">
        <v>31</v>
      </c>
      <c r="L25" s="35">
        <v>1</v>
      </c>
      <c r="M25" s="35">
        <f t="shared" si="1"/>
        <v>100</v>
      </c>
      <c r="N25" s="37">
        <v>120</v>
      </c>
      <c r="O25" s="55" t="s">
        <v>34</v>
      </c>
      <c r="P25" s="56">
        <v>2.1999999999999999E-2</v>
      </c>
      <c r="Q25" s="56">
        <f t="shared" si="8"/>
        <v>2.64</v>
      </c>
      <c r="R25" s="35"/>
      <c r="S25" s="59"/>
    </row>
    <row r="26" spans="1:19" s="1" customFormat="1" ht="24">
      <c r="A26" s="32"/>
      <c r="B26" s="36">
        <f t="shared" si="0"/>
        <v>17</v>
      </c>
      <c r="C26" s="38" t="s">
        <v>128</v>
      </c>
      <c r="D26" s="37" t="s">
        <v>129</v>
      </c>
      <c r="E26" s="37" t="s">
        <v>130</v>
      </c>
      <c r="F26" s="37" t="s">
        <v>312</v>
      </c>
      <c r="G26" s="37" t="s">
        <v>131</v>
      </c>
      <c r="H26" s="37" t="s">
        <v>132</v>
      </c>
      <c r="I26" s="35" t="s">
        <v>31</v>
      </c>
      <c r="J26" s="54" t="s">
        <v>133</v>
      </c>
      <c r="K26" s="37" t="s">
        <v>134</v>
      </c>
      <c r="L26" s="37">
        <v>1</v>
      </c>
      <c r="M26" s="35">
        <f t="shared" si="1"/>
        <v>100</v>
      </c>
      <c r="N26" s="35">
        <v>105</v>
      </c>
      <c r="O26" s="52" t="s">
        <v>34</v>
      </c>
      <c r="P26" s="53">
        <v>5.9299999999999999E-2</v>
      </c>
      <c r="Q26" s="53">
        <f t="shared" ref="Q26:Q27" si="9">P26*N26</f>
        <v>6.2264999999999997</v>
      </c>
      <c r="R26" s="37"/>
      <c r="S26" s="59"/>
    </row>
    <row r="27" spans="1:19" s="1" customFormat="1" ht="24">
      <c r="A27" s="32"/>
      <c r="B27" s="33">
        <f t="shared" si="0"/>
        <v>18</v>
      </c>
      <c r="C27" s="34" t="s">
        <v>135</v>
      </c>
      <c r="D27" s="35" t="s">
        <v>136</v>
      </c>
      <c r="E27" s="35" t="s">
        <v>137</v>
      </c>
      <c r="F27" s="35" t="s">
        <v>312</v>
      </c>
      <c r="G27" s="35" t="s">
        <v>138</v>
      </c>
      <c r="H27" s="35" t="s">
        <v>139</v>
      </c>
      <c r="I27" s="35" t="s">
        <v>31</v>
      </c>
      <c r="J27" s="51" t="s">
        <v>140</v>
      </c>
      <c r="K27" s="35" t="s">
        <v>141</v>
      </c>
      <c r="L27" s="35">
        <v>2</v>
      </c>
      <c r="M27" s="35">
        <f t="shared" si="1"/>
        <v>200</v>
      </c>
      <c r="N27" s="37">
        <v>202</v>
      </c>
      <c r="O27" s="55" t="s">
        <v>34</v>
      </c>
      <c r="P27" s="56">
        <v>0.3246</v>
      </c>
      <c r="Q27" s="56">
        <f t="shared" si="9"/>
        <v>65.569199999999995</v>
      </c>
      <c r="R27" s="35"/>
      <c r="S27" s="59"/>
    </row>
    <row r="28" spans="1:19" s="1" customFormat="1" ht="48">
      <c r="A28" s="32"/>
      <c r="B28" s="36">
        <f t="shared" si="0"/>
        <v>19</v>
      </c>
      <c r="C28" s="38" t="s">
        <v>142</v>
      </c>
      <c r="D28" s="37" t="s">
        <v>143</v>
      </c>
      <c r="E28" s="37" t="s">
        <v>144</v>
      </c>
      <c r="F28" s="37" t="s">
        <v>145</v>
      </c>
      <c r="G28" s="37" t="s">
        <v>146</v>
      </c>
      <c r="H28" s="37" t="s">
        <v>147</v>
      </c>
      <c r="I28" s="35" t="s">
        <v>31</v>
      </c>
      <c r="J28" s="54" t="s">
        <v>148</v>
      </c>
      <c r="K28" s="37" t="s">
        <v>31</v>
      </c>
      <c r="L28" s="37">
        <v>1</v>
      </c>
      <c r="M28" s="35">
        <f t="shared" si="1"/>
        <v>100</v>
      </c>
      <c r="N28" s="37">
        <v>120</v>
      </c>
      <c r="O28" s="55" t="s">
        <v>34</v>
      </c>
      <c r="P28" s="56">
        <v>2.0799999999999999E-2</v>
      </c>
      <c r="Q28" s="53">
        <f t="shared" ref="Q28:Q30" si="10">P28*N28</f>
        <v>2.496</v>
      </c>
      <c r="R28" s="37"/>
      <c r="S28" s="59"/>
    </row>
    <row r="29" spans="1:19" s="1" customFormat="1" ht="24">
      <c r="A29" s="32"/>
      <c r="B29" s="33">
        <f t="shared" si="0"/>
        <v>20</v>
      </c>
      <c r="C29" s="34" t="s">
        <v>149</v>
      </c>
      <c r="D29" s="35" t="s">
        <v>150</v>
      </c>
      <c r="E29" s="35" t="s">
        <v>151</v>
      </c>
      <c r="F29" s="35" t="s">
        <v>312</v>
      </c>
      <c r="G29" s="35" t="s">
        <v>152</v>
      </c>
      <c r="H29" s="35" t="s">
        <v>153</v>
      </c>
      <c r="I29" s="35" t="s">
        <v>31</v>
      </c>
      <c r="J29" s="51" t="s">
        <v>154</v>
      </c>
      <c r="K29" s="37" t="s">
        <v>31</v>
      </c>
      <c r="L29" s="35">
        <v>3</v>
      </c>
      <c r="M29" s="35">
        <f t="shared" si="1"/>
        <v>300</v>
      </c>
      <c r="N29" s="35">
        <v>310</v>
      </c>
      <c r="O29" s="52" t="s">
        <v>34</v>
      </c>
      <c r="P29" s="53">
        <v>4.4400000000000002E-2</v>
      </c>
      <c r="Q29" s="56">
        <f t="shared" si="10"/>
        <v>13.763999999999999</v>
      </c>
      <c r="R29" s="35"/>
      <c r="S29" s="59"/>
    </row>
    <row r="30" spans="1:19" s="1" customFormat="1" ht="36">
      <c r="A30" s="32"/>
      <c r="B30" s="33">
        <f t="shared" si="0"/>
        <v>21</v>
      </c>
      <c r="C30" s="34" t="s">
        <v>155</v>
      </c>
      <c r="D30" s="35" t="s">
        <v>156</v>
      </c>
      <c r="E30" s="35" t="s">
        <v>157</v>
      </c>
      <c r="F30" s="35" t="s">
        <v>158</v>
      </c>
      <c r="G30" s="35" t="s">
        <v>159</v>
      </c>
      <c r="H30" s="35" t="s">
        <v>160</v>
      </c>
      <c r="I30" s="35" t="s">
        <v>31</v>
      </c>
      <c r="J30" s="51" t="s">
        <v>161</v>
      </c>
      <c r="K30" s="37" t="s">
        <v>31</v>
      </c>
      <c r="L30" s="35">
        <v>1</v>
      </c>
      <c r="M30" s="35">
        <f t="shared" si="1"/>
        <v>100</v>
      </c>
      <c r="N30" s="35">
        <v>120</v>
      </c>
      <c r="O30" s="52" t="s">
        <v>34</v>
      </c>
      <c r="P30" s="53">
        <v>3.2500000000000001E-2</v>
      </c>
      <c r="Q30" s="56">
        <f t="shared" si="10"/>
        <v>3.9</v>
      </c>
      <c r="R30" s="35"/>
      <c r="S30" s="59"/>
    </row>
    <row r="31" spans="1:19" s="1" customFormat="1" ht="48">
      <c r="A31" s="32"/>
      <c r="B31" s="36">
        <f t="shared" si="0"/>
        <v>22</v>
      </c>
      <c r="C31" s="38" t="s">
        <v>155</v>
      </c>
      <c r="D31" s="37" t="s">
        <v>162</v>
      </c>
      <c r="E31" s="37" t="s">
        <v>163</v>
      </c>
      <c r="F31" s="37" t="s">
        <v>164</v>
      </c>
      <c r="G31" s="37" t="s">
        <v>165</v>
      </c>
      <c r="H31" s="37" t="s">
        <v>166</v>
      </c>
      <c r="I31" s="35" t="s">
        <v>31</v>
      </c>
      <c r="J31" s="54" t="s">
        <v>167</v>
      </c>
      <c r="K31" s="37" t="s">
        <v>31</v>
      </c>
      <c r="L31" s="37">
        <v>2</v>
      </c>
      <c r="M31" s="35">
        <f t="shared" si="1"/>
        <v>200</v>
      </c>
      <c r="N31" s="54">
        <v>220</v>
      </c>
      <c r="O31" s="55" t="s">
        <v>34</v>
      </c>
      <c r="P31" s="56">
        <v>2.7099999999999999E-2</v>
      </c>
      <c r="Q31" s="53">
        <f t="shared" ref="Q31:Q32" si="11">P31*N31</f>
        <v>5.9619999999999997</v>
      </c>
      <c r="R31" s="37"/>
      <c r="S31" s="59"/>
    </row>
    <row r="32" spans="1:19" s="1" customFormat="1">
      <c r="A32" s="32"/>
      <c r="B32" s="33">
        <f t="shared" si="0"/>
        <v>23</v>
      </c>
      <c r="C32" s="34" t="s">
        <v>155</v>
      </c>
      <c r="D32" s="35" t="s">
        <v>168</v>
      </c>
      <c r="E32" s="35" t="s">
        <v>169</v>
      </c>
      <c r="F32" s="35" t="s">
        <v>170</v>
      </c>
      <c r="G32" s="35" t="s">
        <v>171</v>
      </c>
      <c r="H32" s="35" t="s">
        <v>166</v>
      </c>
      <c r="I32" s="35" t="s">
        <v>31</v>
      </c>
      <c r="J32" s="51" t="s">
        <v>172</v>
      </c>
      <c r="K32" s="35" t="s">
        <v>31</v>
      </c>
      <c r="L32" s="35">
        <v>1</v>
      </c>
      <c r="M32" s="35">
        <f t="shared" si="1"/>
        <v>100</v>
      </c>
      <c r="N32" s="35">
        <v>120</v>
      </c>
      <c r="O32" s="55" t="s">
        <v>34</v>
      </c>
      <c r="P32" s="56">
        <v>3.4099999999999998E-2</v>
      </c>
      <c r="Q32" s="56">
        <f t="shared" si="11"/>
        <v>4.0919999999999996</v>
      </c>
      <c r="R32" s="35"/>
      <c r="S32" s="59"/>
    </row>
    <row r="33" spans="1:19" s="1" customFormat="1">
      <c r="A33" s="32"/>
      <c r="B33" s="36">
        <f t="shared" si="0"/>
        <v>24</v>
      </c>
      <c r="C33" s="38" t="s">
        <v>173</v>
      </c>
      <c r="D33" s="37" t="s">
        <v>174</v>
      </c>
      <c r="E33" s="37" t="s">
        <v>175</v>
      </c>
      <c r="F33" s="37" t="s">
        <v>176</v>
      </c>
      <c r="G33" s="37" t="s">
        <v>177</v>
      </c>
      <c r="H33" s="37" t="s">
        <v>30</v>
      </c>
      <c r="I33" s="35" t="s">
        <v>31</v>
      </c>
      <c r="J33" s="54" t="s">
        <v>178</v>
      </c>
      <c r="K33" s="37" t="s">
        <v>179</v>
      </c>
      <c r="L33" s="37">
        <v>2</v>
      </c>
      <c r="M33" s="35">
        <f t="shared" si="1"/>
        <v>200</v>
      </c>
      <c r="N33" s="35">
        <v>300</v>
      </c>
      <c r="O33" s="55" t="s">
        <v>34</v>
      </c>
      <c r="P33" s="56">
        <v>1.2999999999999999E-3</v>
      </c>
      <c r="Q33" s="53">
        <f t="shared" ref="Q33:Q34" si="12">P33*N33</f>
        <v>0.39</v>
      </c>
      <c r="R33" s="37"/>
      <c r="S33" s="59"/>
    </row>
    <row r="34" spans="1:19" s="1" customFormat="1">
      <c r="A34" s="32"/>
      <c r="B34" s="33">
        <f t="shared" si="0"/>
        <v>25</v>
      </c>
      <c r="C34" s="34" t="s">
        <v>173</v>
      </c>
      <c r="D34" s="35" t="s">
        <v>180</v>
      </c>
      <c r="E34" s="35" t="s">
        <v>181</v>
      </c>
      <c r="F34" s="35" t="s">
        <v>176</v>
      </c>
      <c r="G34" s="35" t="s">
        <v>182</v>
      </c>
      <c r="H34" s="35" t="s">
        <v>30</v>
      </c>
      <c r="I34" s="35" t="s">
        <v>31</v>
      </c>
      <c r="J34" s="51" t="s">
        <v>183</v>
      </c>
      <c r="K34" s="35" t="s">
        <v>184</v>
      </c>
      <c r="L34" s="35">
        <v>1</v>
      </c>
      <c r="M34" s="35">
        <f t="shared" si="1"/>
        <v>100</v>
      </c>
      <c r="N34" s="35">
        <v>200</v>
      </c>
      <c r="O34" s="52" t="s">
        <v>34</v>
      </c>
      <c r="P34" s="53">
        <v>1.1000000000000001E-3</v>
      </c>
      <c r="Q34" s="56">
        <f t="shared" si="12"/>
        <v>0.22</v>
      </c>
      <c r="R34" s="35"/>
      <c r="S34" s="59"/>
    </row>
    <row r="35" spans="1:19" s="1" customFormat="1" ht="24">
      <c r="A35" s="32"/>
      <c r="B35" s="36">
        <f t="shared" si="0"/>
        <v>26</v>
      </c>
      <c r="C35" s="38" t="s">
        <v>173</v>
      </c>
      <c r="D35" s="37" t="s">
        <v>185</v>
      </c>
      <c r="E35" s="37" t="s">
        <v>186</v>
      </c>
      <c r="F35" s="37" t="s">
        <v>176</v>
      </c>
      <c r="G35" s="37" t="s">
        <v>187</v>
      </c>
      <c r="H35" s="37" t="s">
        <v>188</v>
      </c>
      <c r="I35" s="35" t="s">
        <v>31</v>
      </c>
      <c r="J35" s="54" t="s">
        <v>189</v>
      </c>
      <c r="K35" s="37" t="s">
        <v>190</v>
      </c>
      <c r="L35" s="37">
        <v>1</v>
      </c>
      <c r="M35" s="35">
        <f t="shared" si="1"/>
        <v>100</v>
      </c>
      <c r="N35" s="37">
        <v>200</v>
      </c>
      <c r="O35" s="55" t="s">
        <v>34</v>
      </c>
      <c r="P35" s="56">
        <v>1.1000000000000001E-3</v>
      </c>
      <c r="Q35" s="53">
        <f t="shared" ref="Q35:Q36" si="13">P35*N35</f>
        <v>0.22</v>
      </c>
      <c r="R35" s="37"/>
      <c r="S35" s="59"/>
    </row>
    <row r="36" spans="1:19" s="1" customFormat="1">
      <c r="A36" s="32"/>
      <c r="B36" s="33">
        <f t="shared" si="0"/>
        <v>27</v>
      </c>
      <c r="C36" s="34" t="s">
        <v>173</v>
      </c>
      <c r="D36" s="35" t="s">
        <v>191</v>
      </c>
      <c r="E36" s="35" t="s">
        <v>192</v>
      </c>
      <c r="F36" s="35" t="s">
        <v>176</v>
      </c>
      <c r="G36" s="35" t="s">
        <v>193</v>
      </c>
      <c r="H36" s="35" t="s">
        <v>30</v>
      </c>
      <c r="I36" s="35" t="s">
        <v>31</v>
      </c>
      <c r="J36" s="51" t="s">
        <v>194</v>
      </c>
      <c r="K36" s="35" t="s">
        <v>195</v>
      </c>
      <c r="L36" s="35">
        <v>6</v>
      </c>
      <c r="M36" s="35">
        <f t="shared" si="1"/>
        <v>600</v>
      </c>
      <c r="N36" s="35">
        <v>700</v>
      </c>
      <c r="O36" s="55" t="s">
        <v>34</v>
      </c>
      <c r="P36" s="56">
        <v>1E-3</v>
      </c>
      <c r="Q36" s="56">
        <f t="shared" si="13"/>
        <v>0.7</v>
      </c>
      <c r="R36" s="35"/>
      <c r="S36" s="59"/>
    </row>
    <row r="37" spans="1:19" s="1" customFormat="1" ht="24">
      <c r="A37" s="32"/>
      <c r="B37" s="36">
        <f t="shared" si="0"/>
        <v>28</v>
      </c>
      <c r="C37" s="38" t="s">
        <v>173</v>
      </c>
      <c r="D37" s="37" t="s">
        <v>196</v>
      </c>
      <c r="E37" s="37" t="s">
        <v>197</v>
      </c>
      <c r="F37" s="37" t="s">
        <v>198</v>
      </c>
      <c r="G37" s="37" t="s">
        <v>199</v>
      </c>
      <c r="H37" s="37" t="s">
        <v>200</v>
      </c>
      <c r="I37" s="35" t="s">
        <v>31</v>
      </c>
      <c r="J37" s="54" t="s">
        <v>201</v>
      </c>
      <c r="K37" s="37" t="s">
        <v>202</v>
      </c>
      <c r="L37" s="37">
        <v>1</v>
      </c>
      <c r="M37" s="35">
        <f t="shared" si="1"/>
        <v>100</v>
      </c>
      <c r="N37" s="37">
        <v>200</v>
      </c>
      <c r="O37" s="55" t="s">
        <v>34</v>
      </c>
      <c r="P37" s="56">
        <v>4.0000000000000002E-4</v>
      </c>
      <c r="Q37" s="53">
        <f t="shared" ref="Q37:Q38" si="14">P37*N37</f>
        <v>0.08</v>
      </c>
      <c r="R37" s="37"/>
      <c r="S37" s="59"/>
    </row>
    <row r="38" spans="1:19" s="1" customFormat="1">
      <c r="A38" s="32"/>
      <c r="B38" s="33">
        <f t="shared" si="0"/>
        <v>29</v>
      </c>
      <c r="C38" s="34" t="s">
        <v>173</v>
      </c>
      <c r="D38" s="35" t="s">
        <v>203</v>
      </c>
      <c r="E38" s="35" t="s">
        <v>204</v>
      </c>
      <c r="F38" s="35" t="s">
        <v>176</v>
      </c>
      <c r="G38" s="35" t="s">
        <v>205</v>
      </c>
      <c r="H38" s="35" t="s">
        <v>30</v>
      </c>
      <c r="I38" s="35" t="s">
        <v>31</v>
      </c>
      <c r="J38" s="51" t="s">
        <v>206</v>
      </c>
      <c r="K38" s="35" t="s">
        <v>207</v>
      </c>
      <c r="L38" s="35">
        <v>3</v>
      </c>
      <c r="M38" s="35">
        <f t="shared" si="1"/>
        <v>300</v>
      </c>
      <c r="N38" s="35">
        <v>320</v>
      </c>
      <c r="O38" s="52" t="s">
        <v>34</v>
      </c>
      <c r="P38" s="53">
        <v>1.6799999999999999E-2</v>
      </c>
      <c r="Q38" s="56">
        <f t="shared" si="14"/>
        <v>5.3760000000000003</v>
      </c>
      <c r="R38" s="35"/>
      <c r="S38" s="59"/>
    </row>
    <row r="39" spans="1:19" s="1" customFormat="1">
      <c r="A39" s="32"/>
      <c r="B39" s="36">
        <f t="shared" si="0"/>
        <v>30</v>
      </c>
      <c r="C39" s="34" t="s">
        <v>173</v>
      </c>
      <c r="D39" s="37" t="s">
        <v>208</v>
      </c>
      <c r="E39" s="37" t="s">
        <v>209</v>
      </c>
      <c r="F39" s="37" t="s">
        <v>176</v>
      </c>
      <c r="G39" s="37" t="s">
        <v>210</v>
      </c>
      <c r="H39" s="37" t="s">
        <v>30</v>
      </c>
      <c r="I39" s="35" t="s">
        <v>31</v>
      </c>
      <c r="J39" s="54" t="s">
        <v>211</v>
      </c>
      <c r="K39" s="37" t="s">
        <v>212</v>
      </c>
      <c r="L39" s="37">
        <v>3</v>
      </c>
      <c r="M39" s="35">
        <f t="shared" si="1"/>
        <v>300</v>
      </c>
      <c r="N39" s="54">
        <v>400</v>
      </c>
      <c r="O39" s="55" t="s">
        <v>34</v>
      </c>
      <c r="P39" s="56">
        <v>1.1000000000000001E-3</v>
      </c>
      <c r="Q39" s="53">
        <f t="shared" ref="Q39:Q40" si="15">P39*N39</f>
        <v>0.44</v>
      </c>
      <c r="R39" s="37"/>
      <c r="S39" s="59"/>
    </row>
    <row r="40" spans="1:19" s="1" customFormat="1">
      <c r="A40" s="32"/>
      <c r="B40" s="33">
        <f t="shared" si="0"/>
        <v>31</v>
      </c>
      <c r="C40" s="34" t="s">
        <v>173</v>
      </c>
      <c r="D40" s="35" t="s">
        <v>213</v>
      </c>
      <c r="E40" s="35" t="s">
        <v>214</v>
      </c>
      <c r="F40" s="35" t="s">
        <v>176</v>
      </c>
      <c r="G40" s="35" t="s">
        <v>215</v>
      </c>
      <c r="H40" s="35" t="s">
        <v>30</v>
      </c>
      <c r="I40" s="35" t="s">
        <v>31</v>
      </c>
      <c r="J40" s="51" t="s">
        <v>216</v>
      </c>
      <c r="K40" s="35" t="s">
        <v>217</v>
      </c>
      <c r="L40" s="35">
        <v>3</v>
      </c>
      <c r="M40" s="35">
        <f t="shared" si="1"/>
        <v>300</v>
      </c>
      <c r="N40" s="35">
        <v>400</v>
      </c>
      <c r="O40" s="55" t="s">
        <v>34</v>
      </c>
      <c r="P40" s="56">
        <v>1.1000000000000001E-3</v>
      </c>
      <c r="Q40" s="56">
        <f t="shared" si="15"/>
        <v>0.44</v>
      </c>
      <c r="R40" s="35"/>
      <c r="S40" s="59"/>
    </row>
    <row r="41" spans="1:19" s="1" customFormat="1">
      <c r="A41" s="32"/>
      <c r="B41" s="36">
        <f t="shared" si="0"/>
        <v>32</v>
      </c>
      <c r="C41" s="34" t="s">
        <v>173</v>
      </c>
      <c r="D41" s="37" t="s">
        <v>313</v>
      </c>
      <c r="E41" s="37" t="s">
        <v>314</v>
      </c>
      <c r="F41" s="37" t="s">
        <v>198</v>
      </c>
      <c r="G41" s="40" t="s">
        <v>315</v>
      </c>
      <c r="H41" s="35" t="s">
        <v>316</v>
      </c>
      <c r="I41" s="35" t="s">
        <v>317</v>
      </c>
      <c r="J41" s="54" t="s">
        <v>318</v>
      </c>
      <c r="K41" s="37" t="s">
        <v>319</v>
      </c>
      <c r="L41" s="37">
        <v>4</v>
      </c>
      <c r="M41" s="35">
        <f t="shared" si="1"/>
        <v>400</v>
      </c>
      <c r="N41" s="35">
        <v>420</v>
      </c>
      <c r="O41" s="55" t="s">
        <v>34</v>
      </c>
      <c r="P41" s="56">
        <v>2.0400000000000001E-2</v>
      </c>
      <c r="Q41" s="53">
        <f t="shared" ref="Q41:Q42" si="16">P41*N41</f>
        <v>8.5679999999999996</v>
      </c>
      <c r="R41" s="37"/>
      <c r="S41" s="59"/>
    </row>
    <row r="42" spans="1:19" s="1" customFormat="1">
      <c r="A42" s="32"/>
      <c r="B42" s="33">
        <f t="shared" si="0"/>
        <v>33</v>
      </c>
      <c r="C42" s="34" t="s">
        <v>173</v>
      </c>
      <c r="D42" s="35" t="s">
        <v>218</v>
      </c>
      <c r="E42" s="35" t="s">
        <v>219</v>
      </c>
      <c r="F42" s="35" t="s">
        <v>198</v>
      </c>
      <c r="G42" s="35" t="s">
        <v>220</v>
      </c>
      <c r="H42" s="35" t="s">
        <v>30</v>
      </c>
      <c r="I42" s="35" t="s">
        <v>31</v>
      </c>
      <c r="J42" s="51" t="s">
        <v>221</v>
      </c>
      <c r="K42" s="35" t="s">
        <v>195</v>
      </c>
      <c r="L42" s="35">
        <v>2</v>
      </c>
      <c r="M42" s="35">
        <f t="shared" si="1"/>
        <v>200</v>
      </c>
      <c r="N42" s="35">
        <v>300</v>
      </c>
      <c r="O42" s="55" t="s">
        <v>34</v>
      </c>
      <c r="P42" s="56">
        <v>5.9999999999999995E-4</v>
      </c>
      <c r="Q42" s="56">
        <f t="shared" si="16"/>
        <v>0.18</v>
      </c>
      <c r="R42" s="35"/>
      <c r="S42" s="59"/>
    </row>
    <row r="43" spans="1:19" s="1" customFormat="1">
      <c r="A43" s="32"/>
      <c r="B43" s="36">
        <f t="shared" si="0"/>
        <v>34</v>
      </c>
      <c r="C43" s="38" t="s">
        <v>173</v>
      </c>
      <c r="D43" s="37" t="s">
        <v>222</v>
      </c>
      <c r="E43" s="37" t="s">
        <v>223</v>
      </c>
      <c r="F43" s="37" t="s">
        <v>176</v>
      </c>
      <c r="G43" s="37" t="s">
        <v>224</v>
      </c>
      <c r="H43" s="37" t="s">
        <v>30</v>
      </c>
      <c r="I43" s="35" t="s">
        <v>31</v>
      </c>
      <c r="J43" s="37" t="s">
        <v>225</v>
      </c>
      <c r="K43" s="37" t="s">
        <v>226</v>
      </c>
      <c r="L43" s="37">
        <v>2</v>
      </c>
      <c r="M43" s="35">
        <f t="shared" si="1"/>
        <v>200</v>
      </c>
      <c r="N43" s="37">
        <v>300</v>
      </c>
      <c r="O43" s="52" t="s">
        <v>34</v>
      </c>
      <c r="P43" s="53">
        <v>1E-3</v>
      </c>
      <c r="Q43" s="53">
        <f t="shared" ref="Q43:Q44" si="17">P43*N43</f>
        <v>0.3</v>
      </c>
      <c r="R43" s="37"/>
      <c r="S43" s="59"/>
    </row>
    <row r="44" spans="1:19" s="1" customFormat="1">
      <c r="A44" s="32"/>
      <c r="B44" s="33">
        <f t="shared" si="0"/>
        <v>35</v>
      </c>
      <c r="C44" s="34" t="s">
        <v>173</v>
      </c>
      <c r="D44" s="35" t="s">
        <v>227</v>
      </c>
      <c r="E44" s="35" t="s">
        <v>228</v>
      </c>
      <c r="F44" s="35" t="s">
        <v>176</v>
      </c>
      <c r="G44" s="40" t="s">
        <v>229</v>
      </c>
      <c r="H44" s="35" t="s">
        <v>30</v>
      </c>
      <c r="I44" s="35" t="s">
        <v>230</v>
      </c>
      <c r="J44" s="35" t="s">
        <v>231</v>
      </c>
      <c r="K44" s="35" t="s">
        <v>232</v>
      </c>
      <c r="L44" s="35">
        <v>4</v>
      </c>
      <c r="M44" s="35">
        <f t="shared" si="1"/>
        <v>400</v>
      </c>
      <c r="N44" s="35">
        <v>500</v>
      </c>
      <c r="O44" s="55" t="s">
        <v>34</v>
      </c>
      <c r="P44" s="56">
        <v>1.1000000000000001E-3</v>
      </c>
      <c r="Q44" s="56">
        <f t="shared" si="17"/>
        <v>0.55000000000000004</v>
      </c>
      <c r="R44" s="35"/>
      <c r="S44" s="59"/>
    </row>
    <row r="45" spans="1:19" s="1" customFormat="1">
      <c r="A45" s="32"/>
      <c r="B45" s="36">
        <f t="shared" si="0"/>
        <v>36</v>
      </c>
      <c r="C45" s="34" t="s">
        <v>173</v>
      </c>
      <c r="D45" s="35" t="s">
        <v>233</v>
      </c>
      <c r="E45" s="37" t="s">
        <v>234</v>
      </c>
      <c r="F45" s="37" t="s">
        <v>176</v>
      </c>
      <c r="G45" s="37" t="s">
        <v>235</v>
      </c>
      <c r="H45" s="37" t="s">
        <v>30</v>
      </c>
      <c r="I45" s="37"/>
      <c r="J45" s="37" t="s">
        <v>236</v>
      </c>
      <c r="K45" s="37" t="s">
        <v>237</v>
      </c>
      <c r="L45" s="37">
        <v>2</v>
      </c>
      <c r="M45" s="35">
        <f t="shared" si="1"/>
        <v>200</v>
      </c>
      <c r="N45" s="37">
        <v>200</v>
      </c>
      <c r="O45" s="55" t="s">
        <v>34</v>
      </c>
      <c r="P45" s="56">
        <v>1.1999999999999999E-3</v>
      </c>
      <c r="Q45" s="53">
        <f t="shared" ref="Q45:Q46" si="18">P45*N45</f>
        <v>0.24</v>
      </c>
      <c r="R45" s="37"/>
      <c r="S45" s="59"/>
    </row>
    <row r="46" spans="1:19" s="1" customFormat="1" ht="48">
      <c r="A46" s="32"/>
      <c r="B46" s="33">
        <f t="shared" si="0"/>
        <v>37</v>
      </c>
      <c r="C46" s="34" t="s">
        <v>238</v>
      </c>
      <c r="D46" s="35" t="s">
        <v>239</v>
      </c>
      <c r="E46" s="35" t="s">
        <v>240</v>
      </c>
      <c r="F46" s="35" t="s">
        <v>312</v>
      </c>
      <c r="G46" s="35" t="s">
        <v>241</v>
      </c>
      <c r="H46" s="35" t="s">
        <v>242</v>
      </c>
      <c r="I46" s="35" t="s">
        <v>31</v>
      </c>
      <c r="J46" s="35" t="s">
        <v>243</v>
      </c>
      <c r="K46" s="35" t="s">
        <v>31</v>
      </c>
      <c r="L46" s="35">
        <v>1</v>
      </c>
      <c r="M46" s="35">
        <f t="shared" si="1"/>
        <v>100</v>
      </c>
      <c r="N46" s="37">
        <v>120</v>
      </c>
      <c r="O46" s="55" t="s">
        <v>34</v>
      </c>
      <c r="P46" s="56">
        <v>2.1700000000000001E-2</v>
      </c>
      <c r="Q46" s="56">
        <f t="shared" si="18"/>
        <v>2.6040000000000001</v>
      </c>
      <c r="R46" s="35"/>
      <c r="S46" s="59"/>
    </row>
    <row r="47" spans="1:19" s="1" customFormat="1">
      <c r="A47" s="32"/>
      <c r="B47" s="36">
        <f t="shared" si="0"/>
        <v>38</v>
      </c>
      <c r="C47" s="38" t="s">
        <v>244</v>
      </c>
      <c r="D47" s="37" t="s">
        <v>245</v>
      </c>
      <c r="E47" s="37" t="s">
        <v>320</v>
      </c>
      <c r="F47" s="37" t="s">
        <v>312</v>
      </c>
      <c r="G47" s="37" t="s">
        <v>321</v>
      </c>
      <c r="H47" s="37" t="s">
        <v>322</v>
      </c>
      <c r="I47" s="35" t="s">
        <v>31</v>
      </c>
      <c r="J47" s="37" t="s">
        <v>31</v>
      </c>
      <c r="K47" s="35" t="s">
        <v>31</v>
      </c>
      <c r="L47" s="37">
        <v>4</v>
      </c>
      <c r="M47" s="35">
        <f t="shared" si="1"/>
        <v>400</v>
      </c>
      <c r="N47" s="35">
        <v>402</v>
      </c>
      <c r="O47" s="55" t="s">
        <v>323</v>
      </c>
      <c r="P47" s="56">
        <v>2.03423</v>
      </c>
      <c r="Q47" s="53">
        <f t="shared" ref="Q47:Q48" si="19">P47*N47</f>
        <v>817.76045999999997</v>
      </c>
      <c r="R47" s="37"/>
      <c r="S47" s="59"/>
    </row>
    <row r="48" spans="1:19" s="1" customFormat="1" ht="48">
      <c r="A48" s="32"/>
      <c r="B48" s="33">
        <f t="shared" si="0"/>
        <v>39</v>
      </c>
      <c r="C48" s="34" t="s">
        <v>238</v>
      </c>
      <c r="D48" s="35" t="s">
        <v>249</v>
      </c>
      <c r="E48" s="35" t="s">
        <v>250</v>
      </c>
      <c r="F48" s="35" t="s">
        <v>251</v>
      </c>
      <c r="G48" s="35" t="s">
        <v>252</v>
      </c>
      <c r="H48" s="35" t="s">
        <v>242</v>
      </c>
      <c r="I48" s="35" t="s">
        <v>31</v>
      </c>
      <c r="J48" s="35" t="s">
        <v>253</v>
      </c>
      <c r="K48" s="35" t="s">
        <v>31</v>
      </c>
      <c r="L48" s="35">
        <v>1</v>
      </c>
      <c r="M48" s="35">
        <f t="shared" si="1"/>
        <v>100</v>
      </c>
      <c r="N48" s="35">
        <v>110</v>
      </c>
      <c r="O48" s="55" t="s">
        <v>34</v>
      </c>
      <c r="P48" s="56">
        <v>3.2599999999999997E-2</v>
      </c>
      <c r="Q48" s="56">
        <f t="shared" si="19"/>
        <v>3.5859999999999999</v>
      </c>
      <c r="R48" s="35"/>
      <c r="S48" s="59"/>
    </row>
    <row r="49" spans="1:19" s="1" customFormat="1" ht="24">
      <c r="A49" s="32"/>
      <c r="B49" s="36">
        <f t="shared" si="0"/>
        <v>40</v>
      </c>
      <c r="C49" s="38" t="s">
        <v>155</v>
      </c>
      <c r="D49" s="37" t="s">
        <v>254</v>
      </c>
      <c r="E49" s="37" t="s">
        <v>255</v>
      </c>
      <c r="F49" s="37" t="s">
        <v>256</v>
      </c>
      <c r="G49" s="37" t="s">
        <v>257</v>
      </c>
      <c r="H49" s="37" t="s">
        <v>258</v>
      </c>
      <c r="I49" s="35" t="s">
        <v>31</v>
      </c>
      <c r="J49" s="37" t="s">
        <v>259</v>
      </c>
      <c r="K49" s="35" t="s">
        <v>31</v>
      </c>
      <c r="L49" s="37">
        <v>1</v>
      </c>
      <c r="M49" s="35">
        <f t="shared" si="1"/>
        <v>100</v>
      </c>
      <c r="N49" s="37">
        <v>105</v>
      </c>
      <c r="O49" s="52" t="s">
        <v>34</v>
      </c>
      <c r="P49" s="53">
        <v>0.14280000000000001</v>
      </c>
      <c r="Q49" s="53">
        <f t="shared" ref="Q49:Q50" si="20">P49*N49</f>
        <v>14.994</v>
      </c>
      <c r="R49" s="37"/>
      <c r="S49" s="59"/>
    </row>
    <row r="50" spans="1:19" s="1" customFormat="1" ht="24">
      <c r="A50" s="32"/>
      <c r="B50" s="33">
        <f t="shared" si="0"/>
        <v>41</v>
      </c>
      <c r="C50" s="34" t="s">
        <v>260</v>
      </c>
      <c r="D50" s="35" t="s">
        <v>261</v>
      </c>
      <c r="E50" s="35" t="s">
        <v>262</v>
      </c>
      <c r="F50" s="35" t="s">
        <v>263</v>
      </c>
      <c r="G50" s="35" t="s">
        <v>264</v>
      </c>
      <c r="H50" s="35" t="s">
        <v>265</v>
      </c>
      <c r="I50" s="35" t="s">
        <v>31</v>
      </c>
      <c r="J50" s="35" t="s">
        <v>266</v>
      </c>
      <c r="K50" s="35" t="s">
        <v>31</v>
      </c>
      <c r="L50" s="35">
        <v>1</v>
      </c>
      <c r="M50" s="35">
        <f t="shared" si="1"/>
        <v>100</v>
      </c>
      <c r="N50" s="35">
        <v>101</v>
      </c>
      <c r="O50" s="55" t="s">
        <v>34</v>
      </c>
      <c r="P50" s="56">
        <v>0.26569999999999999</v>
      </c>
      <c r="Q50" s="56">
        <f t="shared" si="20"/>
        <v>26.835699999999999</v>
      </c>
      <c r="R50" s="35"/>
      <c r="S50" s="59"/>
    </row>
    <row r="51" spans="1:19" s="1" customFormat="1" ht="36">
      <c r="A51" s="32"/>
      <c r="B51" s="36">
        <f t="shared" si="0"/>
        <v>42</v>
      </c>
      <c r="C51" s="38" t="s">
        <v>260</v>
      </c>
      <c r="D51" s="37" t="s">
        <v>267</v>
      </c>
      <c r="E51" s="37" t="s">
        <v>268</v>
      </c>
      <c r="F51" s="37" t="s">
        <v>269</v>
      </c>
      <c r="G51" s="37" t="s">
        <v>270</v>
      </c>
      <c r="H51" s="37" t="s">
        <v>265</v>
      </c>
      <c r="I51" s="35" t="s">
        <v>31</v>
      </c>
      <c r="J51" s="37" t="s">
        <v>271</v>
      </c>
      <c r="K51" s="35" t="s">
        <v>31</v>
      </c>
      <c r="L51" s="37">
        <v>1</v>
      </c>
      <c r="M51" s="35">
        <f t="shared" si="1"/>
        <v>100</v>
      </c>
      <c r="N51" s="37">
        <v>101</v>
      </c>
      <c r="O51" s="52" t="s">
        <v>34</v>
      </c>
      <c r="P51" s="53">
        <v>0.36749999999999999</v>
      </c>
      <c r="Q51" s="53">
        <f t="shared" ref="Q51:Q52" si="21">P51*N51</f>
        <v>37.1175</v>
      </c>
      <c r="R51" s="37"/>
      <c r="S51" s="59"/>
    </row>
    <row r="52" spans="1:19" s="1" customFormat="1" ht="24">
      <c r="A52" s="32"/>
      <c r="B52" s="33">
        <f t="shared" si="0"/>
        <v>43</v>
      </c>
      <c r="C52" s="34" t="s">
        <v>272</v>
      </c>
      <c r="D52" s="35" t="s">
        <v>273</v>
      </c>
      <c r="E52" s="35" t="s">
        <v>274</v>
      </c>
      <c r="F52" s="35" t="s">
        <v>275</v>
      </c>
      <c r="G52" s="35" t="s">
        <v>276</v>
      </c>
      <c r="H52" s="35" t="s">
        <v>277</v>
      </c>
      <c r="I52" s="35" t="s">
        <v>31</v>
      </c>
      <c r="J52" s="35" t="s">
        <v>278</v>
      </c>
      <c r="K52" s="35" t="s">
        <v>31</v>
      </c>
      <c r="L52" s="35">
        <v>1</v>
      </c>
      <c r="M52" s="35">
        <f t="shared" si="1"/>
        <v>100</v>
      </c>
      <c r="N52" s="35">
        <v>101</v>
      </c>
      <c r="O52" s="55" t="s">
        <v>34</v>
      </c>
      <c r="P52" s="56">
        <v>3.3075000000000001</v>
      </c>
      <c r="Q52" s="56">
        <f t="shared" si="21"/>
        <v>334.0575</v>
      </c>
      <c r="R52" s="35"/>
      <c r="S52" s="59"/>
    </row>
    <row r="53" spans="1:19" s="1" customFormat="1" ht="24">
      <c r="A53" s="32"/>
      <c r="B53" s="36">
        <f t="shared" si="0"/>
        <v>44</v>
      </c>
      <c r="C53" s="38" t="s">
        <v>260</v>
      </c>
      <c r="D53" s="37" t="s">
        <v>279</v>
      </c>
      <c r="E53" s="37" t="s">
        <v>280</v>
      </c>
      <c r="F53" s="37" t="s">
        <v>281</v>
      </c>
      <c r="G53" s="37" t="s">
        <v>282</v>
      </c>
      <c r="H53" s="37" t="s">
        <v>283</v>
      </c>
      <c r="I53" s="35" t="s">
        <v>31</v>
      </c>
      <c r="J53" s="37" t="s">
        <v>284</v>
      </c>
      <c r="K53" s="35" t="s">
        <v>31</v>
      </c>
      <c r="L53" s="37">
        <v>1</v>
      </c>
      <c r="M53" s="35">
        <f t="shared" si="1"/>
        <v>100</v>
      </c>
      <c r="N53" s="37">
        <v>102</v>
      </c>
      <c r="O53" s="52" t="s">
        <v>34</v>
      </c>
      <c r="P53" s="53">
        <v>8.6900000000000005E-2</v>
      </c>
      <c r="Q53" s="53">
        <f t="shared" ref="Q53:Q54" si="22">P53*N53</f>
        <v>8.8637999999999995</v>
      </c>
      <c r="R53" s="37"/>
      <c r="S53" s="59"/>
    </row>
    <row r="54" spans="1:19" s="1" customFormat="1">
      <c r="A54" s="32"/>
      <c r="B54" s="33">
        <f t="shared" si="0"/>
        <v>45</v>
      </c>
      <c r="C54" s="34" t="s">
        <v>260</v>
      </c>
      <c r="D54" s="35" t="s">
        <v>285</v>
      </c>
      <c r="E54" s="35" t="s">
        <v>286</v>
      </c>
      <c r="F54" s="35" t="s">
        <v>287</v>
      </c>
      <c r="G54" s="35" t="s">
        <v>288</v>
      </c>
      <c r="H54" s="35" t="s">
        <v>289</v>
      </c>
      <c r="I54" s="35" t="s">
        <v>31</v>
      </c>
      <c r="J54" s="35" t="s">
        <v>290</v>
      </c>
      <c r="K54" s="35" t="s">
        <v>31</v>
      </c>
      <c r="L54" s="35">
        <v>1</v>
      </c>
      <c r="M54" s="35">
        <f t="shared" si="1"/>
        <v>100</v>
      </c>
      <c r="N54" s="35">
        <v>101</v>
      </c>
      <c r="O54" s="55" t="s">
        <v>34</v>
      </c>
      <c r="P54" s="56">
        <v>0.79459999999999997</v>
      </c>
      <c r="Q54" s="56">
        <f t="shared" si="22"/>
        <v>80.254599999999996</v>
      </c>
      <c r="R54" s="35"/>
      <c r="S54" s="59"/>
    </row>
    <row r="55" spans="1:19" s="1" customFormat="1">
      <c r="A55" s="32"/>
      <c r="B55" s="36">
        <f t="shared" si="0"/>
        <v>46</v>
      </c>
      <c r="C55" s="38" t="s">
        <v>260</v>
      </c>
      <c r="D55" s="37" t="s">
        <v>291</v>
      </c>
      <c r="E55" s="37" t="s">
        <v>292</v>
      </c>
      <c r="F55" s="37" t="s">
        <v>293</v>
      </c>
      <c r="G55" s="37" t="s">
        <v>294</v>
      </c>
      <c r="H55" s="37" t="s">
        <v>289</v>
      </c>
      <c r="I55" s="35" t="s">
        <v>31</v>
      </c>
      <c r="J55" s="37" t="s">
        <v>295</v>
      </c>
      <c r="K55" s="35" t="s">
        <v>31</v>
      </c>
      <c r="L55" s="37">
        <v>1</v>
      </c>
      <c r="M55" s="35">
        <f t="shared" si="1"/>
        <v>100</v>
      </c>
      <c r="N55" s="37">
        <v>101</v>
      </c>
      <c r="O55" s="52" t="s">
        <v>34</v>
      </c>
      <c r="P55" s="53">
        <v>0.71909999999999996</v>
      </c>
      <c r="Q55" s="53">
        <f t="shared" ref="Q55:Q56" si="23">P55*N55</f>
        <v>72.629099999999994</v>
      </c>
      <c r="R55" s="37"/>
      <c r="S55" s="60"/>
    </row>
    <row r="56" spans="1:19" s="1" customFormat="1">
      <c r="A56" s="32"/>
      <c r="B56" s="36">
        <f t="shared" si="0"/>
        <v>47</v>
      </c>
      <c r="C56" s="34" t="s">
        <v>296</v>
      </c>
      <c r="D56" s="35" t="s">
        <v>297</v>
      </c>
      <c r="E56" s="35" t="s">
        <v>298</v>
      </c>
      <c r="F56" s="35" t="s">
        <v>31</v>
      </c>
      <c r="G56" s="35" t="s">
        <v>299</v>
      </c>
      <c r="H56" s="35" t="s">
        <v>31</v>
      </c>
      <c r="I56" s="35" t="s">
        <v>31</v>
      </c>
      <c r="J56" s="35" t="s">
        <v>300</v>
      </c>
      <c r="K56" s="35" t="s">
        <v>31</v>
      </c>
      <c r="L56" s="35">
        <v>1</v>
      </c>
      <c r="M56" s="35">
        <f t="shared" si="1"/>
        <v>100</v>
      </c>
      <c r="N56" s="35">
        <v>101</v>
      </c>
      <c r="O56" s="55" t="s">
        <v>34</v>
      </c>
      <c r="P56" s="56">
        <v>1.3125</v>
      </c>
      <c r="Q56" s="56">
        <f t="shared" si="23"/>
        <v>132.5625</v>
      </c>
      <c r="R56" s="61"/>
      <c r="S56" s="62"/>
    </row>
    <row r="57" spans="1:19" s="1" customFormat="1" ht="48">
      <c r="A57" s="32"/>
      <c r="B57" s="36">
        <f t="shared" si="0"/>
        <v>48</v>
      </c>
      <c r="C57" s="34" t="s">
        <v>301</v>
      </c>
      <c r="D57" s="35" t="s">
        <v>297</v>
      </c>
      <c r="E57" s="35" t="s">
        <v>302</v>
      </c>
      <c r="F57" s="37" t="s">
        <v>31</v>
      </c>
      <c r="G57" s="37" t="s">
        <v>31</v>
      </c>
      <c r="H57" s="37" t="s">
        <v>31</v>
      </c>
      <c r="I57" s="37" t="s">
        <v>31</v>
      </c>
      <c r="J57" s="37" t="s">
        <v>31</v>
      </c>
      <c r="K57" s="37" t="s">
        <v>31</v>
      </c>
      <c r="L57" s="37">
        <v>1</v>
      </c>
      <c r="M57" s="35">
        <f t="shared" si="1"/>
        <v>100</v>
      </c>
      <c r="N57" s="37">
        <v>100</v>
      </c>
      <c r="O57" s="55" t="s">
        <v>303</v>
      </c>
      <c r="P57" s="53">
        <v>3.08</v>
      </c>
      <c r="Q57" s="53">
        <f t="shared" ref="Q57:Q61" si="24">P57*N57</f>
        <v>308</v>
      </c>
      <c r="R57" s="37"/>
      <c r="S57" s="59"/>
    </row>
    <row r="58" spans="1:19" s="1" customFormat="1" ht="60">
      <c r="A58" s="32"/>
      <c r="B58" s="36">
        <f t="shared" si="0"/>
        <v>49</v>
      </c>
      <c r="C58" s="34" t="s">
        <v>304</v>
      </c>
      <c r="D58" s="35" t="s">
        <v>297</v>
      </c>
      <c r="E58" s="35" t="s">
        <v>305</v>
      </c>
      <c r="F58" s="37" t="s">
        <v>31</v>
      </c>
      <c r="G58" s="37" t="s">
        <v>31</v>
      </c>
      <c r="H58" s="37" t="s">
        <v>31</v>
      </c>
      <c r="I58" s="37" t="s">
        <v>31</v>
      </c>
      <c r="J58" s="37" t="s">
        <v>31</v>
      </c>
      <c r="K58" s="37" t="s">
        <v>31</v>
      </c>
      <c r="L58" s="37">
        <v>1</v>
      </c>
      <c r="M58" s="35">
        <f t="shared" si="1"/>
        <v>100</v>
      </c>
      <c r="N58" s="37">
        <v>1</v>
      </c>
      <c r="O58" s="55" t="s">
        <v>303</v>
      </c>
      <c r="P58" s="53">
        <v>0.66</v>
      </c>
      <c r="Q58" s="53">
        <f t="shared" si="24"/>
        <v>0.66</v>
      </c>
      <c r="R58" s="37"/>
      <c r="S58" s="59"/>
    </row>
    <row r="59" spans="1:19" s="99" customFormat="1">
      <c r="A59" s="89"/>
      <c r="B59" s="90">
        <f t="shared" si="0"/>
        <v>50</v>
      </c>
      <c r="C59" s="91" t="s">
        <v>332</v>
      </c>
      <c r="D59" s="92" t="s">
        <v>297</v>
      </c>
      <c r="E59" s="93" t="s">
        <v>333</v>
      </c>
      <c r="F59" s="94" t="s">
        <v>31</v>
      </c>
      <c r="G59" s="93" t="s">
        <v>334</v>
      </c>
      <c r="H59" s="94" t="s">
        <v>31</v>
      </c>
      <c r="I59" s="94" t="s">
        <v>31</v>
      </c>
      <c r="J59" s="94" t="s">
        <v>31</v>
      </c>
      <c r="K59" s="94" t="s">
        <v>31</v>
      </c>
      <c r="L59" s="94">
        <v>3</v>
      </c>
      <c r="M59" s="95">
        <f t="shared" si="1"/>
        <v>300</v>
      </c>
      <c r="N59" s="94">
        <v>350</v>
      </c>
      <c r="O59" s="96" t="s">
        <v>303</v>
      </c>
      <c r="P59" s="97">
        <v>2.5399999999999999E-2</v>
      </c>
      <c r="Q59" s="97">
        <f t="shared" si="24"/>
        <v>8.8899999999999988</v>
      </c>
      <c r="R59" s="94"/>
      <c r="S59" s="98"/>
    </row>
    <row r="60" spans="1:19" s="99" customFormat="1">
      <c r="A60" s="89"/>
      <c r="B60" s="90">
        <f t="shared" si="0"/>
        <v>51</v>
      </c>
      <c r="C60" s="100"/>
      <c r="D60" s="101"/>
      <c r="E60" s="93" t="s">
        <v>335</v>
      </c>
      <c r="F60" s="94" t="s">
        <v>31</v>
      </c>
      <c r="G60" s="93" t="s">
        <v>336</v>
      </c>
      <c r="H60" s="94" t="s">
        <v>31</v>
      </c>
      <c r="I60" s="94" t="s">
        <v>31</v>
      </c>
      <c r="J60" s="94" t="s">
        <v>31</v>
      </c>
      <c r="K60" s="94" t="s">
        <v>31</v>
      </c>
      <c r="L60" s="94">
        <v>2</v>
      </c>
      <c r="M60" s="95">
        <f t="shared" si="1"/>
        <v>200</v>
      </c>
      <c r="N60" s="94">
        <v>250</v>
      </c>
      <c r="O60" s="96" t="s">
        <v>303</v>
      </c>
      <c r="P60" s="97">
        <v>3.6799999999999999E-2</v>
      </c>
      <c r="Q60" s="97">
        <f t="shared" si="24"/>
        <v>9.1999999999999993</v>
      </c>
      <c r="R60" s="94"/>
      <c r="S60" s="98"/>
    </row>
    <row r="61" spans="1:19" s="99" customFormat="1" ht="15.75" thickBot="1">
      <c r="A61" s="89"/>
      <c r="B61" s="90">
        <f t="shared" si="0"/>
        <v>52</v>
      </c>
      <c r="C61" s="102"/>
      <c r="D61" s="103"/>
      <c r="E61" s="93" t="s">
        <v>337</v>
      </c>
      <c r="F61" s="94" t="s">
        <v>31</v>
      </c>
      <c r="G61" s="93" t="s">
        <v>338</v>
      </c>
      <c r="H61" s="94" t="s">
        <v>31</v>
      </c>
      <c r="I61" s="94" t="s">
        <v>31</v>
      </c>
      <c r="J61" s="94" t="s">
        <v>31</v>
      </c>
      <c r="K61" s="94" t="s">
        <v>31</v>
      </c>
      <c r="L61" s="94">
        <v>4</v>
      </c>
      <c r="M61" s="95">
        <f t="shared" si="1"/>
        <v>400</v>
      </c>
      <c r="N61" s="104">
        <v>450</v>
      </c>
      <c r="O61" s="96" t="s">
        <v>303</v>
      </c>
      <c r="P61" s="97">
        <v>1.44E-2</v>
      </c>
      <c r="Q61" s="97">
        <f t="shared" si="24"/>
        <v>6.4799999999999995</v>
      </c>
      <c r="R61" s="94"/>
      <c r="S61" s="98"/>
    </row>
    <row r="62" spans="1:19" ht="19.5" thickBot="1">
      <c r="A62" s="2"/>
      <c r="B62" s="41"/>
      <c r="C62" s="42"/>
      <c r="D62" s="43"/>
      <c r="E62" s="44"/>
      <c r="F62" s="45"/>
      <c r="G62" s="46"/>
      <c r="H62" s="45"/>
      <c r="I62" s="46"/>
      <c r="J62" s="45"/>
      <c r="K62" s="46"/>
      <c r="L62" s="46"/>
      <c r="M62" s="46"/>
      <c r="N62" s="74" t="s">
        <v>306</v>
      </c>
      <c r="O62" s="75"/>
      <c r="P62" s="75"/>
      <c r="Q62" s="63">
        <f>SUM(Q10:Q61)</f>
        <v>2083.7618599999996</v>
      </c>
      <c r="R62" s="78"/>
      <c r="S62" s="79"/>
    </row>
    <row r="63" spans="1:19" ht="18.75">
      <c r="A63" s="2"/>
      <c r="B63" s="47"/>
      <c r="C63" s="48"/>
      <c r="D63" s="49"/>
      <c r="E63" s="50"/>
      <c r="F63" s="50"/>
      <c r="G63" s="50"/>
      <c r="H63" s="50"/>
      <c r="I63" s="50"/>
      <c r="J63" s="50"/>
      <c r="K63" s="50"/>
      <c r="L63" s="50"/>
      <c r="M63" s="50"/>
      <c r="N63" s="74" t="s">
        <v>307</v>
      </c>
      <c r="O63" s="75"/>
      <c r="P63" s="75"/>
      <c r="Q63" s="64">
        <f>Q62/100</f>
        <v>20.837618599999995</v>
      </c>
      <c r="R63" s="80"/>
      <c r="S63" s="81"/>
    </row>
  </sheetData>
  <mergeCells count="7">
    <mergeCell ref="C59:C61"/>
    <mergeCell ref="D59:D61"/>
    <mergeCell ref="K1:S1"/>
    <mergeCell ref="N62:P62"/>
    <mergeCell ref="N63:P63"/>
    <mergeCell ref="S3:S8"/>
    <mergeCell ref="R62:S63"/>
  </mergeCells>
  <hyperlinks>
    <hyperlink ref="O56" r:id="rId1"/>
    <hyperlink ref="O58" r:id="rId2"/>
    <hyperlink ref="O12" r:id="rId3"/>
    <hyperlink ref="O15" r:id="rId4"/>
    <hyperlink ref="O10" r:id="rId5"/>
    <hyperlink ref="O11" r:id="rId6"/>
    <hyperlink ref="O14" r:id="rId7"/>
    <hyperlink ref="O13" r:id="rId8"/>
    <hyperlink ref="O18" r:id="rId9"/>
    <hyperlink ref="O23" r:id="rId10"/>
    <hyperlink ref="O22" r:id="rId11"/>
    <hyperlink ref="O24" r:id="rId12"/>
    <hyperlink ref="O17" r:id="rId13"/>
    <hyperlink ref="O19" r:id="rId14"/>
    <hyperlink ref="O21" r:id="rId15"/>
    <hyperlink ref="O26" r:id="rId16"/>
    <hyperlink ref="O27" r:id="rId17"/>
    <hyperlink ref="O25" r:id="rId18"/>
    <hyperlink ref="O20" r:id="rId19"/>
    <hyperlink ref="O28" r:id="rId20"/>
    <hyperlink ref="O29" r:id="rId21"/>
    <hyperlink ref="O30" r:id="rId22"/>
    <hyperlink ref="O31" r:id="rId23"/>
    <hyperlink ref="O33" r:id="rId24"/>
    <hyperlink ref="O32" r:id="rId25"/>
    <hyperlink ref="O36" r:id="rId26"/>
    <hyperlink ref="O40" r:id="rId27"/>
    <hyperlink ref="O34" r:id="rId28"/>
    <hyperlink ref="O35" r:id="rId29"/>
    <hyperlink ref="O37" r:id="rId30"/>
    <hyperlink ref="O39" r:id="rId31"/>
    <hyperlink ref="O38" r:id="rId32"/>
    <hyperlink ref="O42" r:id="rId33"/>
    <hyperlink ref="O41" r:id="rId34"/>
    <hyperlink ref="O46" r:id="rId35"/>
    <hyperlink ref="O48" r:id="rId36"/>
    <hyperlink ref="O49" r:id="rId37"/>
    <hyperlink ref="O50" r:id="rId38"/>
    <hyperlink ref="O51" r:id="rId39"/>
    <hyperlink ref="O47" r:id="rId40"/>
    <hyperlink ref="O45" r:id="rId41"/>
    <hyperlink ref="O43" r:id="rId42"/>
    <hyperlink ref="O44" r:id="rId43"/>
    <hyperlink ref="O52" r:id="rId44"/>
    <hyperlink ref="O53" r:id="rId45"/>
    <hyperlink ref="O54" r:id="rId46"/>
    <hyperlink ref="O55" r:id="rId47"/>
    <hyperlink ref="O57" r:id="rId48"/>
    <hyperlink ref="O16" r:id="rId49"/>
    <hyperlink ref="O59" r:id="rId50"/>
    <hyperlink ref="O60" r:id="rId51"/>
    <hyperlink ref="O61" r:id="rId52"/>
  </hyperlinks>
  <pageMargins left="0.7" right="0.7" top="0.75" bottom="0.75" header="0.3" footer="0.3"/>
  <drawing r:id="rId5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63"/>
  <sheetViews>
    <sheetView topLeftCell="E55" workbookViewId="0">
      <selection activeCell="Q63" sqref="Q63"/>
    </sheetView>
  </sheetViews>
  <sheetFormatPr defaultColWidth="9" defaultRowHeight="15"/>
  <cols>
    <col min="2" max="2" width="3" customWidth="1"/>
    <col min="3" max="3" width="9.85546875" customWidth="1"/>
    <col min="4" max="4" width="31.140625" customWidth="1"/>
    <col min="5" max="5" width="34.85546875" customWidth="1"/>
    <col min="6" max="6" width="12.7109375" customWidth="1"/>
    <col min="7" max="7" width="25.28515625" customWidth="1"/>
    <col min="8" max="8" width="13.28515625" customWidth="1"/>
    <col min="9" max="9" width="21.5703125" customWidth="1"/>
    <col min="10" max="10" width="17" customWidth="1"/>
    <col min="11" max="11" width="6.85546875" customWidth="1"/>
    <col min="12" max="12" width="8.7109375" customWidth="1"/>
    <col min="13" max="13" width="20.28515625" customWidth="1"/>
    <col min="14" max="14" width="17.28515625" customWidth="1"/>
    <col min="15" max="15" width="11.5703125" customWidth="1"/>
    <col min="16" max="16" width="20.7109375" customWidth="1"/>
    <col min="17" max="17" width="21.42578125" customWidth="1"/>
    <col min="19" max="19" width="26.140625" customWidth="1"/>
  </cols>
  <sheetData>
    <row r="1" spans="1:19">
      <c r="A1" s="2"/>
      <c r="B1" s="3"/>
      <c r="C1" s="3"/>
      <c r="D1" s="4"/>
      <c r="E1" s="4"/>
      <c r="F1" s="4"/>
      <c r="G1" s="4"/>
      <c r="H1" s="4"/>
      <c r="I1" s="4"/>
      <c r="J1" s="4"/>
      <c r="K1" s="72"/>
      <c r="L1" s="72"/>
      <c r="M1" s="72"/>
      <c r="N1" s="72"/>
      <c r="O1" s="72"/>
      <c r="P1" s="72"/>
      <c r="Q1" s="72"/>
      <c r="R1" s="72"/>
      <c r="S1" s="73"/>
    </row>
    <row r="2" spans="1:19" ht="31.5">
      <c r="A2" s="2"/>
      <c r="B2" s="5"/>
      <c r="C2" s="6"/>
      <c r="D2" s="7" t="s">
        <v>0</v>
      </c>
      <c r="E2" s="7"/>
      <c r="F2" s="69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57"/>
    </row>
    <row r="3" spans="1:19">
      <c r="A3" s="2"/>
      <c r="B3" s="10"/>
      <c r="C3" s="11"/>
      <c r="D3" s="12" t="s">
        <v>2</v>
      </c>
      <c r="E3" s="12"/>
      <c r="F3" s="70" t="s">
        <v>3</v>
      </c>
      <c r="G3" s="12"/>
      <c r="H3" s="13"/>
      <c r="I3" s="12"/>
      <c r="J3" s="13"/>
      <c r="K3" s="13"/>
      <c r="L3" s="13"/>
      <c r="M3" s="13"/>
      <c r="N3" s="13"/>
      <c r="O3" s="13"/>
      <c r="P3" s="13"/>
      <c r="Q3" s="13"/>
      <c r="R3" s="13"/>
      <c r="S3" s="76"/>
    </row>
    <row r="4" spans="1:19">
      <c r="A4" s="2"/>
      <c r="B4" s="10"/>
      <c r="C4" s="11"/>
      <c r="D4" s="12" t="s">
        <v>4</v>
      </c>
      <c r="E4" s="12"/>
      <c r="F4" s="70" t="s">
        <v>3</v>
      </c>
      <c r="G4" s="14"/>
      <c r="H4" s="15"/>
      <c r="I4" s="14"/>
      <c r="J4" s="15"/>
      <c r="K4" s="15"/>
      <c r="L4" s="17"/>
      <c r="M4" s="17"/>
      <c r="N4" s="17"/>
      <c r="O4" s="17"/>
      <c r="P4" s="17"/>
      <c r="Q4" s="17"/>
      <c r="R4" s="17"/>
      <c r="S4" s="77"/>
    </row>
    <row r="5" spans="1:19">
      <c r="A5" s="2"/>
      <c r="B5" s="10"/>
      <c r="C5" s="11"/>
      <c r="D5" s="12" t="s">
        <v>5</v>
      </c>
      <c r="E5" s="12"/>
      <c r="F5" s="71" t="s">
        <v>6</v>
      </c>
      <c r="G5" s="16"/>
      <c r="H5" s="17"/>
      <c r="I5" s="16"/>
      <c r="J5" s="17"/>
      <c r="K5" s="17"/>
      <c r="L5" s="17"/>
      <c r="M5" s="17"/>
      <c r="N5" s="17"/>
      <c r="O5" s="17"/>
      <c r="P5" s="17"/>
      <c r="Q5" s="17"/>
      <c r="R5" s="17"/>
      <c r="S5" s="77"/>
    </row>
    <row r="6" spans="1:19">
      <c r="A6" s="2"/>
      <c r="B6" s="18"/>
      <c r="C6" s="19"/>
      <c r="D6" s="20"/>
      <c r="E6" s="20"/>
      <c r="F6" s="21"/>
      <c r="G6" s="16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77"/>
    </row>
    <row r="7" spans="1:19">
      <c r="A7" s="2"/>
      <c r="B7" s="22"/>
      <c r="C7" s="23"/>
      <c r="D7" s="24"/>
      <c r="E7" s="24"/>
      <c r="F7" s="25"/>
      <c r="G7" s="24"/>
      <c r="H7" s="26"/>
      <c r="I7" s="24"/>
      <c r="J7" s="26"/>
      <c r="K7" s="26"/>
      <c r="L7" s="26"/>
      <c r="M7" s="26"/>
      <c r="N7" s="26"/>
      <c r="O7" s="26"/>
      <c r="P7" s="26"/>
      <c r="Q7" s="26"/>
      <c r="R7" s="26"/>
      <c r="S7" s="77"/>
    </row>
    <row r="8" spans="1:19">
      <c r="A8" s="2"/>
      <c r="B8" s="27"/>
      <c r="C8" s="28"/>
      <c r="D8" s="29"/>
      <c r="E8" s="29"/>
      <c r="F8" s="30"/>
      <c r="G8" s="24"/>
      <c r="H8" s="26"/>
      <c r="I8" s="24"/>
      <c r="J8" s="26"/>
      <c r="K8" s="26"/>
      <c r="L8" s="26"/>
      <c r="M8" s="26"/>
      <c r="N8" s="26"/>
      <c r="O8" s="26"/>
      <c r="P8" s="26"/>
      <c r="Q8" s="26"/>
      <c r="R8" s="26"/>
      <c r="S8" s="77"/>
    </row>
    <row r="9" spans="1:19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  <c r="M9" s="31" t="s">
        <v>324</v>
      </c>
      <c r="N9" s="31" t="s">
        <v>325</v>
      </c>
      <c r="O9" s="31" t="s">
        <v>20</v>
      </c>
      <c r="P9" s="31" t="s">
        <v>326</v>
      </c>
      <c r="Q9" s="31" t="s">
        <v>327</v>
      </c>
      <c r="R9" s="31" t="s">
        <v>23</v>
      </c>
      <c r="S9" s="31" t="s">
        <v>24</v>
      </c>
    </row>
    <row r="10" spans="1:19">
      <c r="A10" s="32"/>
      <c r="B10" s="33">
        <f>ROW(B10)-ROW($B$9)</f>
        <v>1</v>
      </c>
      <c r="C10" s="34" t="s">
        <v>25</v>
      </c>
      <c r="D10" s="35" t="s">
        <v>26</v>
      </c>
      <c r="E10" s="35" t="s">
        <v>27</v>
      </c>
      <c r="F10" s="35" t="s">
        <v>28</v>
      </c>
      <c r="G10" s="35" t="s">
        <v>29</v>
      </c>
      <c r="H10" s="35" t="s">
        <v>30</v>
      </c>
      <c r="I10" s="35" t="s">
        <v>31</v>
      </c>
      <c r="J10" s="51" t="s">
        <v>32</v>
      </c>
      <c r="K10" s="35" t="s">
        <v>33</v>
      </c>
      <c r="L10" s="35">
        <v>6</v>
      </c>
      <c r="M10" s="35">
        <f>L10*500</f>
        <v>3000</v>
      </c>
      <c r="N10" s="35">
        <v>3020</v>
      </c>
      <c r="O10" s="52" t="s">
        <v>34</v>
      </c>
      <c r="P10" s="53">
        <v>2.1399999999999999E-2</v>
      </c>
      <c r="Q10" s="56">
        <f>P10*N10</f>
        <v>64.628</v>
      </c>
      <c r="R10" s="35"/>
      <c r="S10" s="58"/>
    </row>
    <row r="11" spans="1:19" ht="24">
      <c r="A11" s="32"/>
      <c r="B11" s="36">
        <f t="shared" ref="B11:B61" si="0">ROW(B11)-ROW($B$9)</f>
        <v>2</v>
      </c>
      <c r="C11" s="34" t="s">
        <v>25</v>
      </c>
      <c r="D11" s="37" t="s">
        <v>35</v>
      </c>
      <c r="E11" s="37" t="s">
        <v>36</v>
      </c>
      <c r="F11" s="37" t="s">
        <v>37</v>
      </c>
      <c r="G11" s="37" t="s">
        <v>38</v>
      </c>
      <c r="H11" s="37" t="s">
        <v>30</v>
      </c>
      <c r="I11" s="35" t="s">
        <v>31</v>
      </c>
      <c r="J11" s="54" t="s">
        <v>39</v>
      </c>
      <c r="K11" s="37" t="s">
        <v>40</v>
      </c>
      <c r="L11" s="37">
        <v>14</v>
      </c>
      <c r="M11" s="35">
        <f t="shared" ref="M11:M61" si="1">L11*500</f>
        <v>7000</v>
      </c>
      <c r="N11" s="37">
        <v>7100</v>
      </c>
      <c r="O11" s="52" t="s">
        <v>34</v>
      </c>
      <c r="P11" s="53">
        <v>1.2999999999999999E-3</v>
      </c>
      <c r="Q11" s="53">
        <f t="shared" ref="Q11:Q12" si="2">P11*N11</f>
        <v>9.23</v>
      </c>
      <c r="R11" s="37"/>
      <c r="S11" s="37"/>
    </row>
    <row r="12" spans="1:19" ht="24">
      <c r="A12" s="32"/>
      <c r="B12" s="33">
        <f t="shared" si="0"/>
        <v>3</v>
      </c>
      <c r="C12" s="34" t="s">
        <v>25</v>
      </c>
      <c r="D12" s="35" t="s">
        <v>41</v>
      </c>
      <c r="E12" s="35" t="s">
        <v>42</v>
      </c>
      <c r="F12" s="35" t="s">
        <v>43</v>
      </c>
      <c r="G12" s="35" t="s">
        <v>44</v>
      </c>
      <c r="H12" s="35" t="s">
        <v>30</v>
      </c>
      <c r="I12" s="35" t="s">
        <v>31</v>
      </c>
      <c r="J12" s="51" t="s">
        <v>45</v>
      </c>
      <c r="K12" s="35" t="s">
        <v>46</v>
      </c>
      <c r="L12" s="35">
        <v>3</v>
      </c>
      <c r="M12" s="35">
        <f t="shared" si="1"/>
        <v>1500</v>
      </c>
      <c r="N12" s="35">
        <v>1550</v>
      </c>
      <c r="O12" s="55" t="s">
        <v>34</v>
      </c>
      <c r="P12" s="56">
        <v>1.24E-2</v>
      </c>
      <c r="Q12" s="56">
        <f t="shared" si="2"/>
        <v>19.22</v>
      </c>
      <c r="R12" s="35"/>
      <c r="S12" s="59"/>
    </row>
    <row r="13" spans="1:19">
      <c r="A13" s="32"/>
      <c r="B13" s="36">
        <f t="shared" si="0"/>
        <v>4</v>
      </c>
      <c r="C13" s="34" t="s">
        <v>25</v>
      </c>
      <c r="D13" s="37" t="s">
        <v>47</v>
      </c>
      <c r="E13" s="37" t="s">
        <v>48</v>
      </c>
      <c r="F13" s="37" t="s">
        <v>37</v>
      </c>
      <c r="G13" s="37" t="s">
        <v>49</v>
      </c>
      <c r="H13" s="37" t="s">
        <v>30</v>
      </c>
      <c r="I13" s="35" t="s">
        <v>31</v>
      </c>
      <c r="J13" s="54" t="s">
        <v>50</v>
      </c>
      <c r="K13" s="37" t="s">
        <v>51</v>
      </c>
      <c r="L13" s="37">
        <v>2</v>
      </c>
      <c r="M13" s="35">
        <f t="shared" si="1"/>
        <v>1000</v>
      </c>
      <c r="N13" s="35">
        <v>1100</v>
      </c>
      <c r="O13" s="52" t="s">
        <v>34</v>
      </c>
      <c r="P13" s="53">
        <v>1.8E-3</v>
      </c>
      <c r="Q13" s="53">
        <f t="shared" ref="Q13:Q14" si="3">P13*N13</f>
        <v>1.98</v>
      </c>
      <c r="R13" s="37"/>
      <c r="S13" s="59"/>
    </row>
    <row r="14" spans="1:19">
      <c r="A14" s="32"/>
      <c r="B14" s="33">
        <f t="shared" si="0"/>
        <v>5</v>
      </c>
      <c r="C14" s="34" t="s">
        <v>25</v>
      </c>
      <c r="D14" s="35" t="s">
        <v>52</v>
      </c>
      <c r="E14" s="35" t="s">
        <v>53</v>
      </c>
      <c r="F14" s="35" t="s">
        <v>43</v>
      </c>
      <c r="G14" s="35" t="s">
        <v>54</v>
      </c>
      <c r="H14" s="35" t="s">
        <v>30</v>
      </c>
      <c r="I14" s="35" t="s">
        <v>31</v>
      </c>
      <c r="J14" s="51" t="s">
        <v>55</v>
      </c>
      <c r="K14" s="35" t="s">
        <v>56</v>
      </c>
      <c r="L14" s="35">
        <v>4</v>
      </c>
      <c r="M14" s="35">
        <f t="shared" si="1"/>
        <v>2000</v>
      </c>
      <c r="N14" s="37">
        <v>2100</v>
      </c>
      <c r="O14" s="52" t="s">
        <v>34</v>
      </c>
      <c r="P14" s="53">
        <v>4.7999999999999996E-3</v>
      </c>
      <c r="Q14" s="56">
        <f t="shared" si="3"/>
        <v>10.08</v>
      </c>
      <c r="R14" s="35"/>
      <c r="S14" s="59"/>
    </row>
    <row r="15" spans="1:19">
      <c r="A15" s="32"/>
      <c r="B15" s="36">
        <f t="shared" si="0"/>
        <v>6</v>
      </c>
      <c r="C15" s="34" t="s">
        <v>25</v>
      </c>
      <c r="D15" s="37" t="s">
        <v>57</v>
      </c>
      <c r="E15" s="37" t="s">
        <v>58</v>
      </c>
      <c r="F15" s="37" t="s">
        <v>43</v>
      </c>
      <c r="G15" s="37" t="s">
        <v>59</v>
      </c>
      <c r="H15" s="37" t="s">
        <v>30</v>
      </c>
      <c r="I15" s="35" t="s">
        <v>31</v>
      </c>
      <c r="J15" s="54" t="s">
        <v>60</v>
      </c>
      <c r="K15" s="37" t="s">
        <v>61</v>
      </c>
      <c r="L15" s="37">
        <v>4</v>
      </c>
      <c r="M15" s="35">
        <f t="shared" si="1"/>
        <v>2000</v>
      </c>
      <c r="N15" s="35">
        <v>2010</v>
      </c>
      <c r="O15" s="52" t="s">
        <v>34</v>
      </c>
      <c r="P15" s="53">
        <v>3.8199999999999998E-2</v>
      </c>
      <c r="Q15" s="53">
        <f t="shared" ref="Q15:Q17" si="4">P15*N15</f>
        <v>76.781999999999996</v>
      </c>
      <c r="R15" s="37"/>
      <c r="S15" s="59"/>
    </row>
    <row r="16" spans="1:19">
      <c r="A16" s="2"/>
      <c r="B16" s="36">
        <f t="shared" si="0"/>
        <v>7</v>
      </c>
      <c r="C16" s="34" t="s">
        <v>25</v>
      </c>
      <c r="D16" s="35" t="s">
        <v>62</v>
      </c>
      <c r="E16" s="35" t="s">
        <v>63</v>
      </c>
      <c r="F16" s="35" t="s">
        <v>64</v>
      </c>
      <c r="G16" s="35" t="s">
        <v>65</v>
      </c>
      <c r="H16" s="35" t="s">
        <v>30</v>
      </c>
      <c r="I16" s="35" t="s">
        <v>31</v>
      </c>
      <c r="J16" s="35" t="s">
        <v>66</v>
      </c>
      <c r="K16" s="35" t="s">
        <v>67</v>
      </c>
      <c r="L16" s="35">
        <v>1</v>
      </c>
      <c r="M16" s="35">
        <f t="shared" si="1"/>
        <v>500</v>
      </c>
      <c r="N16" s="35">
        <v>550</v>
      </c>
      <c r="O16" s="55" t="s">
        <v>34</v>
      </c>
      <c r="P16" s="56">
        <v>1.5699999999999999E-2</v>
      </c>
      <c r="Q16" s="56">
        <f t="shared" si="4"/>
        <v>8.6349999999999998</v>
      </c>
      <c r="R16" s="35"/>
      <c r="S16" s="59"/>
    </row>
    <row r="17" spans="1:19">
      <c r="A17" s="32"/>
      <c r="B17" s="33">
        <f t="shared" si="0"/>
        <v>8</v>
      </c>
      <c r="C17" s="34" t="s">
        <v>68</v>
      </c>
      <c r="D17" s="35" t="s">
        <v>69</v>
      </c>
      <c r="E17" s="35" t="s">
        <v>70</v>
      </c>
      <c r="F17" s="35" t="s">
        <v>71</v>
      </c>
      <c r="G17" s="35" t="s">
        <v>72</v>
      </c>
      <c r="H17" s="35" t="s">
        <v>73</v>
      </c>
      <c r="I17" s="35" t="s">
        <v>31</v>
      </c>
      <c r="J17" s="51" t="s">
        <v>74</v>
      </c>
      <c r="K17" s="35" t="s">
        <v>31</v>
      </c>
      <c r="L17" s="35">
        <v>1</v>
      </c>
      <c r="M17" s="35">
        <f t="shared" si="1"/>
        <v>500</v>
      </c>
      <c r="N17" s="35">
        <v>510</v>
      </c>
      <c r="O17" s="55" t="s">
        <v>34</v>
      </c>
      <c r="P17" s="56">
        <v>2.41E-2</v>
      </c>
      <c r="Q17" s="56">
        <f t="shared" si="4"/>
        <v>12.291</v>
      </c>
      <c r="R17" s="35"/>
      <c r="S17" s="59"/>
    </row>
    <row r="18" spans="1:19" ht="36">
      <c r="A18" s="32"/>
      <c r="B18" s="36">
        <f t="shared" si="0"/>
        <v>9</v>
      </c>
      <c r="C18" s="34" t="s">
        <v>68</v>
      </c>
      <c r="D18" s="37" t="s">
        <v>75</v>
      </c>
      <c r="E18" s="37" t="s">
        <v>76</v>
      </c>
      <c r="F18" s="37" t="s">
        <v>77</v>
      </c>
      <c r="G18" s="37" t="s">
        <v>78</v>
      </c>
      <c r="H18" s="37" t="s">
        <v>79</v>
      </c>
      <c r="I18" s="35" t="s">
        <v>31</v>
      </c>
      <c r="J18" s="54" t="s">
        <v>80</v>
      </c>
      <c r="K18" s="35" t="s">
        <v>31</v>
      </c>
      <c r="L18" s="37">
        <v>1</v>
      </c>
      <c r="M18" s="35">
        <f t="shared" si="1"/>
        <v>500</v>
      </c>
      <c r="N18" s="35">
        <v>510</v>
      </c>
      <c r="O18" s="52" t="s">
        <v>34</v>
      </c>
      <c r="P18" s="53">
        <v>2.8199999999999999E-2</v>
      </c>
      <c r="Q18" s="53">
        <f t="shared" ref="Q18:Q19" si="5">P18*N18</f>
        <v>14.382</v>
      </c>
      <c r="R18" s="37"/>
      <c r="S18" s="59"/>
    </row>
    <row r="19" spans="1:19" ht="36">
      <c r="A19" s="32"/>
      <c r="B19" s="33">
        <f t="shared" si="0"/>
        <v>10</v>
      </c>
      <c r="C19" s="34" t="s">
        <v>81</v>
      </c>
      <c r="D19" s="35" t="s">
        <v>82</v>
      </c>
      <c r="E19" s="35" t="s">
        <v>83</v>
      </c>
      <c r="F19" s="35" t="s">
        <v>84</v>
      </c>
      <c r="G19" s="35" t="s">
        <v>85</v>
      </c>
      <c r="H19" s="35" t="s">
        <v>86</v>
      </c>
      <c r="I19" s="35" t="s">
        <v>31</v>
      </c>
      <c r="J19" s="51" t="s">
        <v>87</v>
      </c>
      <c r="K19" s="35" t="s">
        <v>31</v>
      </c>
      <c r="L19" s="35">
        <v>1</v>
      </c>
      <c r="M19" s="35">
        <f t="shared" si="1"/>
        <v>500</v>
      </c>
      <c r="N19" s="37">
        <v>505</v>
      </c>
      <c r="O19" s="55" t="s">
        <v>34</v>
      </c>
      <c r="P19" s="56">
        <v>6.08E-2</v>
      </c>
      <c r="Q19" s="56">
        <f t="shared" si="5"/>
        <v>30.704000000000001</v>
      </c>
      <c r="R19" s="35"/>
      <c r="S19" s="59"/>
    </row>
    <row r="20" spans="1:19" ht="36">
      <c r="A20" s="32"/>
      <c r="B20" s="36">
        <f t="shared" si="0"/>
        <v>11</v>
      </c>
      <c r="C20" s="38" t="s">
        <v>88</v>
      </c>
      <c r="D20" s="37" t="s">
        <v>89</v>
      </c>
      <c r="E20" s="37" t="s">
        <v>90</v>
      </c>
      <c r="F20" s="37" t="s">
        <v>91</v>
      </c>
      <c r="G20" s="37" t="s">
        <v>92</v>
      </c>
      <c r="H20" s="37" t="s">
        <v>93</v>
      </c>
      <c r="I20" s="35" t="s">
        <v>31</v>
      </c>
      <c r="J20" s="54" t="s">
        <v>94</v>
      </c>
      <c r="K20" s="35" t="s">
        <v>31</v>
      </c>
      <c r="L20" s="37">
        <v>3</v>
      </c>
      <c r="M20" s="35">
        <f t="shared" si="1"/>
        <v>1500</v>
      </c>
      <c r="N20" s="35">
        <v>1600</v>
      </c>
      <c r="O20" s="55" t="s">
        <v>34</v>
      </c>
      <c r="P20" s="56">
        <v>5.7999999999999996E-3</v>
      </c>
      <c r="Q20" s="53">
        <f t="shared" ref="Q20:Q21" si="6">P20*N20</f>
        <v>9.2799999999999994</v>
      </c>
      <c r="R20" s="37"/>
      <c r="S20" s="59"/>
    </row>
    <row r="21" spans="1:19" ht="25.5">
      <c r="A21" s="32"/>
      <c r="B21" s="33">
        <f t="shared" si="0"/>
        <v>12</v>
      </c>
      <c r="C21" s="34" t="s">
        <v>88</v>
      </c>
      <c r="D21" s="35" t="s">
        <v>95</v>
      </c>
      <c r="E21" s="35" t="s">
        <v>96</v>
      </c>
      <c r="F21" s="35" t="s">
        <v>97</v>
      </c>
      <c r="G21" s="35" t="s">
        <v>98</v>
      </c>
      <c r="H21" s="35" t="s">
        <v>93</v>
      </c>
      <c r="I21" s="35" t="s">
        <v>31</v>
      </c>
      <c r="J21" s="51" t="s">
        <v>99</v>
      </c>
      <c r="K21" s="35" t="s">
        <v>100</v>
      </c>
      <c r="L21" s="35">
        <v>1</v>
      </c>
      <c r="M21" s="35">
        <f t="shared" si="1"/>
        <v>500</v>
      </c>
      <c r="N21" s="37">
        <v>510</v>
      </c>
      <c r="O21" s="55" t="s">
        <v>34</v>
      </c>
      <c r="P21" s="56">
        <v>4.9299999999999997E-2</v>
      </c>
      <c r="Q21" s="56">
        <f t="shared" si="6"/>
        <v>25.143000000000001</v>
      </c>
      <c r="R21" s="35"/>
      <c r="S21" s="59"/>
    </row>
    <row r="22" spans="1:19" ht="36">
      <c r="A22" s="32"/>
      <c r="B22" s="36">
        <f t="shared" si="0"/>
        <v>13</v>
      </c>
      <c r="C22" s="38" t="s">
        <v>101</v>
      </c>
      <c r="D22" s="37" t="s">
        <v>102</v>
      </c>
      <c r="E22" s="37" t="s">
        <v>103</v>
      </c>
      <c r="F22" s="37" t="s">
        <v>312</v>
      </c>
      <c r="G22" s="37" t="s">
        <v>105</v>
      </c>
      <c r="H22" s="37" t="s">
        <v>106</v>
      </c>
      <c r="I22" s="35" t="s">
        <v>31</v>
      </c>
      <c r="J22" s="54" t="s">
        <v>107</v>
      </c>
      <c r="K22" s="37" t="s">
        <v>31</v>
      </c>
      <c r="L22" s="37">
        <v>1</v>
      </c>
      <c r="M22" s="35">
        <f t="shared" si="1"/>
        <v>500</v>
      </c>
      <c r="N22" s="35">
        <v>520</v>
      </c>
      <c r="O22" s="52" t="s">
        <v>34</v>
      </c>
      <c r="P22" s="53">
        <v>2.5700000000000001E-2</v>
      </c>
      <c r="Q22" s="53">
        <f t="shared" ref="Q22:Q23" si="7">P22*N22</f>
        <v>13.364000000000001</v>
      </c>
      <c r="R22" s="37"/>
      <c r="S22" s="59"/>
    </row>
    <row r="23" spans="1:19" ht="25.5">
      <c r="A23" s="32"/>
      <c r="B23" s="33">
        <f t="shared" si="0"/>
        <v>14</v>
      </c>
      <c r="C23" s="34" t="s">
        <v>108</v>
      </c>
      <c r="D23" s="35" t="s">
        <v>109</v>
      </c>
      <c r="E23" s="35" t="s">
        <v>110</v>
      </c>
      <c r="F23" s="37" t="s">
        <v>312</v>
      </c>
      <c r="G23" s="35" t="s">
        <v>112</v>
      </c>
      <c r="H23" s="35" t="s">
        <v>113</v>
      </c>
      <c r="I23" s="35" t="s">
        <v>31</v>
      </c>
      <c r="J23" s="51" t="s">
        <v>114</v>
      </c>
      <c r="K23" s="37" t="s">
        <v>31</v>
      </c>
      <c r="L23" s="35">
        <v>1</v>
      </c>
      <c r="M23" s="35">
        <f t="shared" si="1"/>
        <v>500</v>
      </c>
      <c r="N23" s="37">
        <v>505</v>
      </c>
      <c r="O23" s="55" t="s">
        <v>34</v>
      </c>
      <c r="P23" s="56">
        <v>0.112</v>
      </c>
      <c r="Q23" s="56">
        <f t="shared" si="7"/>
        <v>56.56</v>
      </c>
      <c r="R23" s="35"/>
      <c r="S23" s="59"/>
    </row>
    <row r="24" spans="1:19" ht="36">
      <c r="A24" s="32"/>
      <c r="B24" s="36">
        <f t="shared" si="0"/>
        <v>15</v>
      </c>
      <c r="C24" s="38" t="s">
        <v>115</v>
      </c>
      <c r="D24" s="37" t="s">
        <v>116</v>
      </c>
      <c r="E24" s="37" t="s">
        <v>117</v>
      </c>
      <c r="F24" s="37" t="s">
        <v>312</v>
      </c>
      <c r="G24" s="37" t="s">
        <v>119</v>
      </c>
      <c r="H24" s="37" t="s">
        <v>120</v>
      </c>
      <c r="I24" s="35" t="s">
        <v>31</v>
      </c>
      <c r="J24" s="54" t="s">
        <v>119</v>
      </c>
      <c r="K24" s="37" t="s">
        <v>31</v>
      </c>
      <c r="L24" s="37">
        <v>1</v>
      </c>
      <c r="M24" s="35">
        <f t="shared" si="1"/>
        <v>500</v>
      </c>
      <c r="N24" s="35">
        <v>504</v>
      </c>
      <c r="O24" s="55" t="s">
        <v>34</v>
      </c>
      <c r="P24" s="56">
        <v>4.7300000000000002E-2</v>
      </c>
      <c r="Q24" s="53">
        <f t="shared" ref="Q24:Q25" si="8">P24*N24</f>
        <v>23.839200000000002</v>
      </c>
      <c r="R24" s="37"/>
      <c r="S24" s="59"/>
    </row>
    <row r="25" spans="1:19" ht="24">
      <c r="A25" s="32"/>
      <c r="B25" s="33">
        <f t="shared" si="0"/>
        <v>16</v>
      </c>
      <c r="C25" s="34" t="s">
        <v>121</v>
      </c>
      <c r="D25" s="35" t="s">
        <v>122</v>
      </c>
      <c r="E25" s="35" t="s">
        <v>123</v>
      </c>
      <c r="F25" s="35" t="s">
        <v>124</v>
      </c>
      <c r="G25" s="39">
        <v>61300211121</v>
      </c>
      <c r="H25" s="35" t="s">
        <v>125</v>
      </c>
      <c r="I25" s="35" t="s">
        <v>126</v>
      </c>
      <c r="J25" s="51" t="s">
        <v>127</v>
      </c>
      <c r="K25" s="37" t="s">
        <v>31</v>
      </c>
      <c r="L25" s="35">
        <v>1</v>
      </c>
      <c r="M25" s="35">
        <f t="shared" si="1"/>
        <v>500</v>
      </c>
      <c r="N25" s="37">
        <v>520</v>
      </c>
      <c r="O25" s="55" t="s">
        <v>34</v>
      </c>
      <c r="P25" s="56">
        <v>1.7899999999999999E-2</v>
      </c>
      <c r="Q25" s="56">
        <f t="shared" si="8"/>
        <v>9.3079999999999998</v>
      </c>
      <c r="R25" s="35"/>
      <c r="S25" s="59"/>
    </row>
    <row r="26" spans="1:19" ht="24">
      <c r="A26" s="32"/>
      <c r="B26" s="36">
        <f t="shared" si="0"/>
        <v>17</v>
      </c>
      <c r="C26" s="38" t="s">
        <v>128</v>
      </c>
      <c r="D26" s="37" t="s">
        <v>129</v>
      </c>
      <c r="E26" s="37" t="s">
        <v>130</v>
      </c>
      <c r="F26" s="37" t="s">
        <v>312</v>
      </c>
      <c r="G26" s="37" t="s">
        <v>131</v>
      </c>
      <c r="H26" s="37" t="s">
        <v>132</v>
      </c>
      <c r="I26" s="35" t="s">
        <v>31</v>
      </c>
      <c r="J26" s="54" t="s">
        <v>133</v>
      </c>
      <c r="K26" s="37" t="s">
        <v>134</v>
      </c>
      <c r="L26" s="37">
        <v>1</v>
      </c>
      <c r="M26" s="35">
        <f t="shared" si="1"/>
        <v>500</v>
      </c>
      <c r="N26" s="35">
        <v>505</v>
      </c>
      <c r="O26" s="52" t="s">
        <v>34</v>
      </c>
      <c r="P26" s="53">
        <v>5.2600000000000001E-2</v>
      </c>
      <c r="Q26" s="53">
        <f t="shared" ref="Q26:Q27" si="9">P26*N26</f>
        <v>26.562999999999999</v>
      </c>
      <c r="R26" s="37"/>
      <c r="S26" s="59"/>
    </row>
    <row r="27" spans="1:19" ht="24">
      <c r="A27" s="32"/>
      <c r="B27" s="33">
        <f t="shared" si="0"/>
        <v>18</v>
      </c>
      <c r="C27" s="34" t="s">
        <v>135</v>
      </c>
      <c r="D27" s="35" t="s">
        <v>136</v>
      </c>
      <c r="E27" s="35" t="s">
        <v>137</v>
      </c>
      <c r="F27" s="35" t="s">
        <v>312</v>
      </c>
      <c r="G27" s="35" t="s">
        <v>138</v>
      </c>
      <c r="H27" s="35" t="s">
        <v>139</v>
      </c>
      <c r="I27" s="35" t="s">
        <v>31</v>
      </c>
      <c r="J27" s="51" t="s">
        <v>140</v>
      </c>
      <c r="K27" s="35" t="s">
        <v>141</v>
      </c>
      <c r="L27" s="35">
        <v>2</v>
      </c>
      <c r="M27" s="35">
        <f t="shared" si="1"/>
        <v>1000</v>
      </c>
      <c r="N27" s="37">
        <v>1002</v>
      </c>
      <c r="O27" s="55" t="s">
        <v>34</v>
      </c>
      <c r="P27" s="56">
        <v>0.28799999999999998</v>
      </c>
      <c r="Q27" s="56">
        <f t="shared" si="9"/>
        <v>288.57600000000002</v>
      </c>
      <c r="R27" s="35"/>
      <c r="S27" s="59"/>
    </row>
    <row r="28" spans="1:19" ht="48">
      <c r="A28" s="32"/>
      <c r="B28" s="36">
        <f t="shared" si="0"/>
        <v>19</v>
      </c>
      <c r="C28" s="38" t="s">
        <v>142</v>
      </c>
      <c r="D28" s="37" t="s">
        <v>143</v>
      </c>
      <c r="E28" s="37" t="s">
        <v>144</v>
      </c>
      <c r="F28" s="37" t="s">
        <v>145</v>
      </c>
      <c r="G28" s="37" t="s">
        <v>146</v>
      </c>
      <c r="H28" s="37" t="s">
        <v>147</v>
      </c>
      <c r="I28" s="35" t="s">
        <v>31</v>
      </c>
      <c r="J28" s="54" t="s">
        <v>148</v>
      </c>
      <c r="K28" s="37" t="s">
        <v>31</v>
      </c>
      <c r="L28" s="37">
        <v>1</v>
      </c>
      <c r="M28" s="35">
        <f t="shared" si="1"/>
        <v>500</v>
      </c>
      <c r="N28" s="37">
        <v>520</v>
      </c>
      <c r="O28" s="55" t="s">
        <v>34</v>
      </c>
      <c r="P28" s="56">
        <v>1.7100000000000001E-2</v>
      </c>
      <c r="Q28" s="53">
        <f t="shared" ref="Q28:Q30" si="10">P28*N28</f>
        <v>8.8919999999999995</v>
      </c>
      <c r="R28" s="37"/>
      <c r="S28" s="59"/>
    </row>
    <row r="29" spans="1:19" ht="24">
      <c r="A29" s="32"/>
      <c r="B29" s="33">
        <f t="shared" si="0"/>
        <v>20</v>
      </c>
      <c r="C29" s="34" t="s">
        <v>149</v>
      </c>
      <c r="D29" s="35" t="s">
        <v>150</v>
      </c>
      <c r="E29" s="35" t="s">
        <v>151</v>
      </c>
      <c r="F29" s="35" t="s">
        <v>312</v>
      </c>
      <c r="G29" s="35" t="s">
        <v>152</v>
      </c>
      <c r="H29" s="35" t="s">
        <v>153</v>
      </c>
      <c r="I29" s="35" t="s">
        <v>31</v>
      </c>
      <c r="J29" s="51" t="s">
        <v>154</v>
      </c>
      <c r="K29" s="37" t="s">
        <v>31</v>
      </c>
      <c r="L29" s="35">
        <v>3</v>
      </c>
      <c r="M29" s="35">
        <f t="shared" si="1"/>
        <v>1500</v>
      </c>
      <c r="N29" s="35">
        <v>1510</v>
      </c>
      <c r="O29" s="52" t="s">
        <v>34</v>
      </c>
      <c r="P29" s="53">
        <v>4.0099999999999997E-2</v>
      </c>
      <c r="Q29" s="56">
        <f t="shared" si="10"/>
        <v>60.551000000000002</v>
      </c>
      <c r="R29" s="35"/>
      <c r="S29" s="59"/>
    </row>
    <row r="30" spans="1:19" ht="36">
      <c r="A30" s="32"/>
      <c r="B30" s="33">
        <f t="shared" si="0"/>
        <v>21</v>
      </c>
      <c r="C30" s="34" t="s">
        <v>155</v>
      </c>
      <c r="D30" s="35" t="s">
        <v>156</v>
      </c>
      <c r="E30" s="35" t="s">
        <v>157</v>
      </c>
      <c r="F30" s="35" t="s">
        <v>158</v>
      </c>
      <c r="G30" s="35" t="s">
        <v>159</v>
      </c>
      <c r="H30" s="35" t="s">
        <v>160</v>
      </c>
      <c r="I30" s="35" t="s">
        <v>31</v>
      </c>
      <c r="J30" s="51" t="s">
        <v>161</v>
      </c>
      <c r="K30" s="37" t="s">
        <v>31</v>
      </c>
      <c r="L30" s="35">
        <v>1</v>
      </c>
      <c r="M30" s="35">
        <f t="shared" si="1"/>
        <v>500</v>
      </c>
      <c r="N30" s="35">
        <v>520</v>
      </c>
      <c r="O30" s="52" t="s">
        <v>34</v>
      </c>
      <c r="P30" s="53">
        <v>2.5899999999999999E-2</v>
      </c>
      <c r="Q30" s="56">
        <f t="shared" si="10"/>
        <v>13.468</v>
      </c>
      <c r="R30" s="35"/>
      <c r="S30" s="59"/>
    </row>
    <row r="31" spans="1:19" ht="48">
      <c r="A31" s="32"/>
      <c r="B31" s="36">
        <f t="shared" si="0"/>
        <v>22</v>
      </c>
      <c r="C31" s="38" t="s">
        <v>155</v>
      </c>
      <c r="D31" s="37" t="s">
        <v>162</v>
      </c>
      <c r="E31" s="37" t="s">
        <v>163</v>
      </c>
      <c r="F31" s="37" t="s">
        <v>164</v>
      </c>
      <c r="G31" s="37" t="s">
        <v>165</v>
      </c>
      <c r="H31" s="37" t="s">
        <v>166</v>
      </c>
      <c r="I31" s="35" t="s">
        <v>31</v>
      </c>
      <c r="J31" s="54" t="s">
        <v>167</v>
      </c>
      <c r="K31" s="37" t="s">
        <v>31</v>
      </c>
      <c r="L31" s="37">
        <v>2</v>
      </c>
      <c r="M31" s="35">
        <f t="shared" si="1"/>
        <v>1000</v>
      </c>
      <c r="N31" s="54">
        <v>1020</v>
      </c>
      <c r="O31" s="55" t="s">
        <v>34</v>
      </c>
      <c r="P31" s="56">
        <v>2.35E-2</v>
      </c>
      <c r="Q31" s="53">
        <f t="shared" ref="Q31:Q32" si="11">P31*N31</f>
        <v>23.97</v>
      </c>
      <c r="R31" s="37"/>
      <c r="S31" s="59"/>
    </row>
    <row r="32" spans="1:19">
      <c r="A32" s="32"/>
      <c r="B32" s="33">
        <f t="shared" si="0"/>
        <v>23</v>
      </c>
      <c r="C32" s="34" t="s">
        <v>155</v>
      </c>
      <c r="D32" s="35" t="s">
        <v>168</v>
      </c>
      <c r="E32" s="35" t="s">
        <v>169</v>
      </c>
      <c r="F32" s="35" t="s">
        <v>170</v>
      </c>
      <c r="G32" s="35" t="s">
        <v>171</v>
      </c>
      <c r="H32" s="35" t="s">
        <v>166</v>
      </c>
      <c r="I32" s="35" t="s">
        <v>31</v>
      </c>
      <c r="J32" s="51" t="s">
        <v>172</v>
      </c>
      <c r="K32" s="35" t="s">
        <v>31</v>
      </c>
      <c r="L32" s="35">
        <v>1</v>
      </c>
      <c r="M32" s="35">
        <f t="shared" si="1"/>
        <v>500</v>
      </c>
      <c r="N32" s="35">
        <v>520</v>
      </c>
      <c r="O32" s="55" t="s">
        <v>34</v>
      </c>
      <c r="P32" s="56">
        <v>2.7699999999999999E-2</v>
      </c>
      <c r="Q32" s="56">
        <f t="shared" si="11"/>
        <v>14.404</v>
      </c>
      <c r="R32" s="35"/>
      <c r="S32" s="59"/>
    </row>
    <row r="33" spans="1:19">
      <c r="A33" s="32"/>
      <c r="B33" s="36">
        <f t="shared" si="0"/>
        <v>24</v>
      </c>
      <c r="C33" s="38" t="s">
        <v>173</v>
      </c>
      <c r="D33" s="37" t="s">
        <v>174</v>
      </c>
      <c r="E33" s="37" t="s">
        <v>175</v>
      </c>
      <c r="F33" s="37" t="s">
        <v>176</v>
      </c>
      <c r="G33" s="37" t="s">
        <v>177</v>
      </c>
      <c r="H33" s="37" t="s">
        <v>30</v>
      </c>
      <c r="I33" s="35" t="s">
        <v>31</v>
      </c>
      <c r="J33" s="54" t="s">
        <v>178</v>
      </c>
      <c r="K33" s="37" t="s">
        <v>179</v>
      </c>
      <c r="L33" s="37">
        <v>2</v>
      </c>
      <c r="M33" s="35">
        <f t="shared" si="1"/>
        <v>1000</v>
      </c>
      <c r="N33" s="35">
        <v>1100</v>
      </c>
      <c r="O33" s="55" t="s">
        <v>34</v>
      </c>
      <c r="P33" s="56">
        <v>1E-3</v>
      </c>
      <c r="Q33" s="53">
        <f t="shared" ref="Q33:Q34" si="12">P33*N33</f>
        <v>1.1000000000000001</v>
      </c>
      <c r="R33" s="37"/>
      <c r="S33" s="59"/>
    </row>
    <row r="34" spans="1:19">
      <c r="A34" s="32"/>
      <c r="B34" s="33">
        <f t="shared" si="0"/>
        <v>25</v>
      </c>
      <c r="C34" s="34" t="s">
        <v>173</v>
      </c>
      <c r="D34" s="35" t="s">
        <v>180</v>
      </c>
      <c r="E34" s="35" t="s">
        <v>181</v>
      </c>
      <c r="F34" s="35" t="s">
        <v>176</v>
      </c>
      <c r="G34" s="35" t="s">
        <v>182</v>
      </c>
      <c r="H34" s="35" t="s">
        <v>30</v>
      </c>
      <c r="I34" s="35" t="s">
        <v>31</v>
      </c>
      <c r="J34" s="51" t="s">
        <v>183</v>
      </c>
      <c r="K34" s="35" t="s">
        <v>184</v>
      </c>
      <c r="L34" s="35">
        <v>1</v>
      </c>
      <c r="M34" s="35">
        <f t="shared" si="1"/>
        <v>500</v>
      </c>
      <c r="N34" s="35">
        <v>600</v>
      </c>
      <c r="O34" s="52" t="s">
        <v>34</v>
      </c>
      <c r="P34" s="53">
        <v>1.1000000000000001E-3</v>
      </c>
      <c r="Q34" s="56">
        <f t="shared" si="12"/>
        <v>0.66</v>
      </c>
      <c r="R34" s="35"/>
      <c r="S34" s="59"/>
    </row>
    <row r="35" spans="1:19" ht="36">
      <c r="A35" s="32"/>
      <c r="B35" s="36">
        <f t="shared" si="0"/>
        <v>26</v>
      </c>
      <c r="C35" s="38" t="s">
        <v>173</v>
      </c>
      <c r="D35" s="37" t="s">
        <v>185</v>
      </c>
      <c r="E35" s="37" t="s">
        <v>186</v>
      </c>
      <c r="F35" s="37" t="s">
        <v>176</v>
      </c>
      <c r="G35" s="37" t="s">
        <v>187</v>
      </c>
      <c r="H35" s="37" t="s">
        <v>188</v>
      </c>
      <c r="I35" s="35" t="s">
        <v>31</v>
      </c>
      <c r="J35" s="54" t="s">
        <v>189</v>
      </c>
      <c r="K35" s="37" t="s">
        <v>190</v>
      </c>
      <c r="L35" s="37">
        <v>1</v>
      </c>
      <c r="M35" s="35">
        <f t="shared" si="1"/>
        <v>500</v>
      </c>
      <c r="N35" s="37">
        <v>600</v>
      </c>
      <c r="O35" s="55" t="s">
        <v>34</v>
      </c>
      <c r="P35" s="56">
        <v>1.1000000000000001E-3</v>
      </c>
      <c r="Q35" s="53">
        <f t="shared" ref="Q35:Q36" si="13">P35*N35</f>
        <v>0.66</v>
      </c>
      <c r="R35" s="37"/>
      <c r="S35" s="59"/>
    </row>
    <row r="36" spans="1:19">
      <c r="A36" s="32"/>
      <c r="B36" s="33">
        <f t="shared" si="0"/>
        <v>27</v>
      </c>
      <c r="C36" s="34" t="s">
        <v>173</v>
      </c>
      <c r="D36" s="35" t="s">
        <v>191</v>
      </c>
      <c r="E36" s="35" t="s">
        <v>192</v>
      </c>
      <c r="F36" s="35" t="s">
        <v>176</v>
      </c>
      <c r="G36" s="35" t="s">
        <v>193</v>
      </c>
      <c r="H36" s="35" t="s">
        <v>30</v>
      </c>
      <c r="I36" s="35" t="s">
        <v>31</v>
      </c>
      <c r="J36" s="51" t="s">
        <v>194</v>
      </c>
      <c r="K36" s="35" t="s">
        <v>195</v>
      </c>
      <c r="L36" s="35">
        <v>6</v>
      </c>
      <c r="M36" s="35">
        <f t="shared" si="1"/>
        <v>3000</v>
      </c>
      <c r="N36" s="35">
        <v>3100</v>
      </c>
      <c r="O36" s="55" t="s">
        <v>34</v>
      </c>
      <c r="P36" s="56">
        <v>8.0000000000000004E-4</v>
      </c>
      <c r="Q36" s="56">
        <f t="shared" si="13"/>
        <v>2.48</v>
      </c>
      <c r="R36" s="35"/>
      <c r="S36" s="59"/>
    </row>
    <row r="37" spans="1:19" ht="24">
      <c r="A37" s="32"/>
      <c r="B37" s="36">
        <f t="shared" si="0"/>
        <v>28</v>
      </c>
      <c r="C37" s="38" t="s">
        <v>173</v>
      </c>
      <c r="D37" s="37" t="s">
        <v>196</v>
      </c>
      <c r="E37" s="37" t="s">
        <v>197</v>
      </c>
      <c r="F37" s="37" t="s">
        <v>198</v>
      </c>
      <c r="G37" s="37" t="s">
        <v>199</v>
      </c>
      <c r="H37" s="37" t="s">
        <v>200</v>
      </c>
      <c r="I37" s="35" t="s">
        <v>31</v>
      </c>
      <c r="J37" s="54" t="s">
        <v>201</v>
      </c>
      <c r="K37" s="37" t="s">
        <v>202</v>
      </c>
      <c r="L37" s="37">
        <v>1</v>
      </c>
      <c r="M37" s="35">
        <f t="shared" si="1"/>
        <v>500</v>
      </c>
      <c r="N37" s="37">
        <v>600</v>
      </c>
      <c r="O37" s="55" t="s">
        <v>34</v>
      </c>
      <c r="P37" s="56">
        <v>4.0000000000000002E-4</v>
      </c>
      <c r="Q37" s="53">
        <f t="shared" ref="Q37:Q38" si="14">P37*N37</f>
        <v>0.24</v>
      </c>
      <c r="R37" s="37"/>
      <c r="S37" s="59"/>
    </row>
    <row r="38" spans="1:19" ht="24">
      <c r="A38" s="32"/>
      <c r="B38" s="33">
        <f t="shared" si="0"/>
        <v>29</v>
      </c>
      <c r="C38" s="34" t="s">
        <v>173</v>
      </c>
      <c r="D38" s="35" t="s">
        <v>203</v>
      </c>
      <c r="E38" s="35" t="s">
        <v>204</v>
      </c>
      <c r="F38" s="35" t="s">
        <v>176</v>
      </c>
      <c r="G38" s="35" t="s">
        <v>205</v>
      </c>
      <c r="H38" s="35" t="s">
        <v>30</v>
      </c>
      <c r="I38" s="35" t="s">
        <v>31</v>
      </c>
      <c r="J38" s="51" t="s">
        <v>206</v>
      </c>
      <c r="K38" s="35" t="s">
        <v>207</v>
      </c>
      <c r="L38" s="35">
        <v>3</v>
      </c>
      <c r="M38" s="35">
        <f t="shared" si="1"/>
        <v>1500</v>
      </c>
      <c r="N38" s="35">
        <v>1520</v>
      </c>
      <c r="O38" s="52" t="s">
        <v>34</v>
      </c>
      <c r="P38" s="53">
        <v>1.49E-2</v>
      </c>
      <c r="Q38" s="56">
        <f t="shared" si="14"/>
        <v>22.648</v>
      </c>
      <c r="R38" s="35"/>
      <c r="S38" s="59"/>
    </row>
    <row r="39" spans="1:19">
      <c r="A39" s="32"/>
      <c r="B39" s="36">
        <f t="shared" si="0"/>
        <v>30</v>
      </c>
      <c r="C39" s="34" t="s">
        <v>173</v>
      </c>
      <c r="D39" s="37" t="s">
        <v>208</v>
      </c>
      <c r="E39" s="37" t="s">
        <v>209</v>
      </c>
      <c r="F39" s="37" t="s">
        <v>176</v>
      </c>
      <c r="G39" s="37" t="s">
        <v>210</v>
      </c>
      <c r="H39" s="37" t="s">
        <v>30</v>
      </c>
      <c r="I39" s="35" t="s">
        <v>31</v>
      </c>
      <c r="J39" s="54" t="s">
        <v>211</v>
      </c>
      <c r="K39" s="37" t="s">
        <v>212</v>
      </c>
      <c r="L39" s="37">
        <v>3</v>
      </c>
      <c r="M39" s="35">
        <f t="shared" si="1"/>
        <v>1500</v>
      </c>
      <c r="N39" s="54">
        <v>1600</v>
      </c>
      <c r="O39" s="55" t="s">
        <v>34</v>
      </c>
      <c r="P39" s="56">
        <v>8.9999999999999998E-4</v>
      </c>
      <c r="Q39" s="53">
        <f t="shared" ref="Q39:Q40" si="15">P39*N39</f>
        <v>1.44</v>
      </c>
      <c r="R39" s="37"/>
      <c r="S39" s="59"/>
    </row>
    <row r="40" spans="1:19">
      <c r="A40" s="32"/>
      <c r="B40" s="33">
        <f t="shared" si="0"/>
        <v>31</v>
      </c>
      <c r="C40" s="34" t="s">
        <v>173</v>
      </c>
      <c r="D40" s="35" t="s">
        <v>213</v>
      </c>
      <c r="E40" s="35" t="s">
        <v>214</v>
      </c>
      <c r="F40" s="35" t="s">
        <v>176</v>
      </c>
      <c r="G40" s="35" t="s">
        <v>215</v>
      </c>
      <c r="H40" s="35" t="s">
        <v>30</v>
      </c>
      <c r="I40" s="35" t="s">
        <v>31</v>
      </c>
      <c r="J40" s="51" t="s">
        <v>216</v>
      </c>
      <c r="K40" s="35" t="s">
        <v>217</v>
      </c>
      <c r="L40" s="35">
        <v>3</v>
      </c>
      <c r="M40" s="35">
        <f t="shared" si="1"/>
        <v>1500</v>
      </c>
      <c r="N40" s="35">
        <v>1600</v>
      </c>
      <c r="O40" s="55" t="s">
        <v>34</v>
      </c>
      <c r="P40" s="56">
        <v>8.9999999999999998E-4</v>
      </c>
      <c r="Q40" s="56">
        <f t="shared" si="15"/>
        <v>1.44</v>
      </c>
      <c r="R40" s="35"/>
      <c r="S40" s="59"/>
    </row>
    <row r="41" spans="1:19">
      <c r="A41" s="32"/>
      <c r="B41" s="36">
        <f t="shared" si="0"/>
        <v>32</v>
      </c>
      <c r="C41" s="34" t="s">
        <v>173</v>
      </c>
      <c r="D41" s="37" t="s">
        <v>313</v>
      </c>
      <c r="E41" s="37" t="s">
        <v>314</v>
      </c>
      <c r="F41" s="37" t="s">
        <v>198</v>
      </c>
      <c r="G41" s="40" t="s">
        <v>315</v>
      </c>
      <c r="H41" s="35" t="s">
        <v>316</v>
      </c>
      <c r="I41" s="35" t="s">
        <v>317</v>
      </c>
      <c r="J41" s="54" t="s">
        <v>318</v>
      </c>
      <c r="K41" s="37" t="s">
        <v>319</v>
      </c>
      <c r="L41" s="37">
        <v>4</v>
      </c>
      <c r="M41" s="35">
        <f t="shared" si="1"/>
        <v>2000</v>
      </c>
      <c r="N41" s="35">
        <v>2020</v>
      </c>
      <c r="O41" s="55" t="s">
        <v>34</v>
      </c>
      <c r="P41" s="56">
        <v>1.6199999999999999E-2</v>
      </c>
      <c r="Q41" s="53">
        <f t="shared" ref="Q41:Q42" si="16">P41*N41</f>
        <v>32.723999999999997</v>
      </c>
      <c r="R41" s="37"/>
      <c r="S41" s="59"/>
    </row>
    <row r="42" spans="1:19">
      <c r="A42" s="32"/>
      <c r="B42" s="33">
        <f t="shared" si="0"/>
        <v>33</v>
      </c>
      <c r="C42" s="34" t="s">
        <v>173</v>
      </c>
      <c r="D42" s="35" t="s">
        <v>218</v>
      </c>
      <c r="E42" s="35" t="s">
        <v>219</v>
      </c>
      <c r="F42" s="35" t="s">
        <v>198</v>
      </c>
      <c r="G42" s="35" t="s">
        <v>220</v>
      </c>
      <c r="H42" s="35" t="s">
        <v>30</v>
      </c>
      <c r="I42" s="35" t="s">
        <v>31</v>
      </c>
      <c r="J42" s="51" t="s">
        <v>221</v>
      </c>
      <c r="K42" s="35" t="s">
        <v>195</v>
      </c>
      <c r="L42" s="35">
        <v>2</v>
      </c>
      <c r="M42" s="35">
        <f t="shared" si="1"/>
        <v>1000</v>
      </c>
      <c r="N42" s="35">
        <v>1100</v>
      </c>
      <c r="O42" s="55" t="s">
        <v>34</v>
      </c>
      <c r="P42" s="56">
        <v>4.0000000000000002E-4</v>
      </c>
      <c r="Q42" s="56">
        <f t="shared" si="16"/>
        <v>0.44</v>
      </c>
      <c r="R42" s="35"/>
      <c r="S42" s="59"/>
    </row>
    <row r="43" spans="1:19">
      <c r="A43" s="32"/>
      <c r="B43" s="36">
        <f t="shared" si="0"/>
        <v>34</v>
      </c>
      <c r="C43" s="38" t="s">
        <v>173</v>
      </c>
      <c r="D43" s="37" t="s">
        <v>222</v>
      </c>
      <c r="E43" s="37" t="s">
        <v>223</v>
      </c>
      <c r="F43" s="37" t="s">
        <v>176</v>
      </c>
      <c r="G43" s="37" t="s">
        <v>224</v>
      </c>
      <c r="H43" s="37" t="s">
        <v>30</v>
      </c>
      <c r="I43" s="35" t="s">
        <v>31</v>
      </c>
      <c r="J43" s="37" t="s">
        <v>225</v>
      </c>
      <c r="K43" s="37" t="s">
        <v>226</v>
      </c>
      <c r="L43" s="37">
        <v>2</v>
      </c>
      <c r="M43" s="35">
        <f t="shared" si="1"/>
        <v>1000</v>
      </c>
      <c r="N43" s="37">
        <v>1100</v>
      </c>
      <c r="O43" s="52" t="s">
        <v>34</v>
      </c>
      <c r="P43" s="53">
        <v>1E-3</v>
      </c>
      <c r="Q43" s="53">
        <f t="shared" ref="Q43:Q44" si="17">P43*N43</f>
        <v>1.1000000000000001</v>
      </c>
      <c r="R43" s="37"/>
      <c r="S43" s="59"/>
    </row>
    <row r="44" spans="1:19">
      <c r="A44" s="32"/>
      <c r="B44" s="33">
        <f t="shared" si="0"/>
        <v>35</v>
      </c>
      <c r="C44" s="34" t="s">
        <v>173</v>
      </c>
      <c r="D44" s="35" t="s">
        <v>227</v>
      </c>
      <c r="E44" s="35" t="s">
        <v>228</v>
      </c>
      <c r="F44" s="35" t="s">
        <v>176</v>
      </c>
      <c r="G44" s="40" t="s">
        <v>229</v>
      </c>
      <c r="H44" s="35" t="s">
        <v>30</v>
      </c>
      <c r="I44" s="35" t="s">
        <v>230</v>
      </c>
      <c r="J44" s="35" t="s">
        <v>231</v>
      </c>
      <c r="K44" s="35" t="s">
        <v>232</v>
      </c>
      <c r="L44" s="35">
        <v>4</v>
      </c>
      <c r="M44" s="35">
        <f t="shared" si="1"/>
        <v>2000</v>
      </c>
      <c r="N44" s="35">
        <v>2100</v>
      </c>
      <c r="O44" s="55" t="s">
        <v>34</v>
      </c>
      <c r="P44" s="56">
        <v>8.9999999999999998E-4</v>
      </c>
      <c r="Q44" s="56">
        <f t="shared" si="17"/>
        <v>1.89</v>
      </c>
      <c r="R44" s="35"/>
      <c r="S44" s="59"/>
    </row>
    <row r="45" spans="1:19">
      <c r="A45" s="32"/>
      <c r="B45" s="36">
        <f t="shared" si="0"/>
        <v>36</v>
      </c>
      <c r="C45" s="34" t="s">
        <v>173</v>
      </c>
      <c r="D45" s="35" t="s">
        <v>233</v>
      </c>
      <c r="E45" s="37" t="s">
        <v>234</v>
      </c>
      <c r="F45" s="37" t="s">
        <v>176</v>
      </c>
      <c r="G45" s="37" t="s">
        <v>235</v>
      </c>
      <c r="H45" s="37" t="s">
        <v>30</v>
      </c>
      <c r="I45" s="37"/>
      <c r="J45" s="37" t="s">
        <v>236</v>
      </c>
      <c r="K45" s="37" t="s">
        <v>237</v>
      </c>
      <c r="L45" s="37">
        <v>2</v>
      </c>
      <c r="M45" s="35">
        <f t="shared" si="1"/>
        <v>1000</v>
      </c>
      <c r="N45" s="37">
        <v>1100</v>
      </c>
      <c r="O45" s="55" t="s">
        <v>34</v>
      </c>
      <c r="P45" s="56">
        <v>1.1999999999999999E-3</v>
      </c>
      <c r="Q45" s="53">
        <f t="shared" ref="Q45:Q46" si="18">P45*N45</f>
        <v>1.32</v>
      </c>
      <c r="R45" s="37"/>
      <c r="S45" s="59"/>
    </row>
    <row r="46" spans="1:19" ht="48">
      <c r="A46" s="32"/>
      <c r="B46" s="33">
        <f t="shared" si="0"/>
        <v>37</v>
      </c>
      <c r="C46" s="34" t="s">
        <v>238</v>
      </c>
      <c r="D46" s="35" t="s">
        <v>239</v>
      </c>
      <c r="E46" s="35" t="s">
        <v>240</v>
      </c>
      <c r="F46" s="35" t="s">
        <v>312</v>
      </c>
      <c r="G46" s="35" t="s">
        <v>241</v>
      </c>
      <c r="H46" s="35" t="s">
        <v>242</v>
      </c>
      <c r="I46" s="35" t="s">
        <v>31</v>
      </c>
      <c r="J46" s="35" t="s">
        <v>243</v>
      </c>
      <c r="K46" s="35" t="s">
        <v>31</v>
      </c>
      <c r="L46" s="35">
        <v>1</v>
      </c>
      <c r="M46" s="35">
        <f t="shared" si="1"/>
        <v>500</v>
      </c>
      <c r="N46" s="37">
        <v>520</v>
      </c>
      <c r="O46" s="55" t="s">
        <v>34</v>
      </c>
      <c r="P46" s="56">
        <v>1.7399999999999999E-2</v>
      </c>
      <c r="Q46" s="56">
        <f t="shared" si="18"/>
        <v>9.048</v>
      </c>
      <c r="R46" s="35"/>
      <c r="S46" s="59"/>
    </row>
    <row r="47" spans="1:19" ht="25.5">
      <c r="A47" s="32"/>
      <c r="B47" s="36">
        <f t="shared" si="0"/>
        <v>38</v>
      </c>
      <c r="C47" s="38" t="s">
        <v>244</v>
      </c>
      <c r="D47" s="37" t="s">
        <v>245</v>
      </c>
      <c r="E47" s="37" t="s">
        <v>320</v>
      </c>
      <c r="F47" s="37" t="s">
        <v>312</v>
      </c>
      <c r="G47" s="37" t="s">
        <v>321</v>
      </c>
      <c r="H47" s="37" t="s">
        <v>322</v>
      </c>
      <c r="I47" s="35" t="s">
        <v>31</v>
      </c>
      <c r="J47" s="37" t="s">
        <v>31</v>
      </c>
      <c r="K47" s="35" t="s">
        <v>31</v>
      </c>
      <c r="L47" s="37">
        <v>4</v>
      </c>
      <c r="M47" s="35">
        <f t="shared" si="1"/>
        <v>2000</v>
      </c>
      <c r="N47" s="35">
        <v>2002</v>
      </c>
      <c r="O47" s="55" t="s">
        <v>323</v>
      </c>
      <c r="P47" s="56">
        <v>1.7688999999999999</v>
      </c>
      <c r="Q47" s="53">
        <f t="shared" ref="Q47:Q48" si="19">P47*N47</f>
        <v>3541.3377999999998</v>
      </c>
      <c r="R47" s="37"/>
      <c r="S47" s="59"/>
    </row>
    <row r="48" spans="1:19" ht="48">
      <c r="A48" s="32"/>
      <c r="B48" s="33">
        <f t="shared" si="0"/>
        <v>39</v>
      </c>
      <c r="C48" s="34" t="s">
        <v>238</v>
      </c>
      <c r="D48" s="35" t="s">
        <v>249</v>
      </c>
      <c r="E48" s="35" t="s">
        <v>250</v>
      </c>
      <c r="F48" s="35" t="s">
        <v>251</v>
      </c>
      <c r="G48" s="35" t="s">
        <v>252</v>
      </c>
      <c r="H48" s="35" t="s">
        <v>242</v>
      </c>
      <c r="I48" s="35" t="s">
        <v>31</v>
      </c>
      <c r="J48" s="35" t="s">
        <v>253</v>
      </c>
      <c r="K48" s="35" t="s">
        <v>31</v>
      </c>
      <c r="L48" s="35">
        <v>1</v>
      </c>
      <c r="M48" s="35">
        <f t="shared" si="1"/>
        <v>500</v>
      </c>
      <c r="N48" s="35">
        <v>510</v>
      </c>
      <c r="O48" s="55" t="s">
        <v>34</v>
      </c>
      <c r="P48" s="56">
        <v>2.8799999999999999E-2</v>
      </c>
      <c r="Q48" s="56">
        <f t="shared" si="19"/>
        <v>14.688000000000001</v>
      </c>
      <c r="R48" s="35"/>
      <c r="S48" s="59"/>
    </row>
    <row r="49" spans="1:19" ht="24">
      <c r="A49" s="32"/>
      <c r="B49" s="36">
        <f t="shared" si="0"/>
        <v>40</v>
      </c>
      <c r="C49" s="38" t="s">
        <v>155</v>
      </c>
      <c r="D49" s="37" t="s">
        <v>254</v>
      </c>
      <c r="E49" s="37" t="s">
        <v>255</v>
      </c>
      <c r="F49" s="37" t="s">
        <v>256</v>
      </c>
      <c r="G49" s="37" t="s">
        <v>257</v>
      </c>
      <c r="H49" s="37" t="s">
        <v>258</v>
      </c>
      <c r="I49" s="35" t="s">
        <v>31</v>
      </c>
      <c r="J49" s="37" t="s">
        <v>259</v>
      </c>
      <c r="K49" s="35" t="s">
        <v>31</v>
      </c>
      <c r="L49" s="37">
        <v>1</v>
      </c>
      <c r="M49" s="35">
        <f t="shared" si="1"/>
        <v>500</v>
      </c>
      <c r="N49" s="37">
        <v>505</v>
      </c>
      <c r="O49" s="52" t="s">
        <v>34</v>
      </c>
      <c r="P49" s="53">
        <v>0.11210000000000001</v>
      </c>
      <c r="Q49" s="53">
        <f t="shared" ref="Q49:Q50" si="20">P49*N49</f>
        <v>56.610500000000002</v>
      </c>
      <c r="R49" s="37"/>
      <c r="S49" s="59"/>
    </row>
    <row r="50" spans="1:19" ht="24">
      <c r="A50" s="32"/>
      <c r="B50" s="33">
        <f t="shared" si="0"/>
        <v>41</v>
      </c>
      <c r="C50" s="34" t="s">
        <v>260</v>
      </c>
      <c r="D50" s="35" t="s">
        <v>261</v>
      </c>
      <c r="E50" s="35" t="s">
        <v>262</v>
      </c>
      <c r="F50" s="35" t="s">
        <v>263</v>
      </c>
      <c r="G50" s="35" t="s">
        <v>264</v>
      </c>
      <c r="H50" s="35" t="s">
        <v>265</v>
      </c>
      <c r="I50" s="35" t="s">
        <v>31</v>
      </c>
      <c r="J50" s="35" t="s">
        <v>266</v>
      </c>
      <c r="K50" s="35" t="s">
        <v>31</v>
      </c>
      <c r="L50" s="35">
        <v>1</v>
      </c>
      <c r="M50" s="35">
        <f t="shared" si="1"/>
        <v>500</v>
      </c>
      <c r="N50" s="35">
        <v>501</v>
      </c>
      <c r="O50" s="55" t="s">
        <v>34</v>
      </c>
      <c r="P50" s="56">
        <v>0.22439999999999999</v>
      </c>
      <c r="Q50" s="56">
        <f t="shared" si="20"/>
        <v>112.42440000000001</v>
      </c>
      <c r="R50" s="35"/>
      <c r="S50" s="59"/>
    </row>
    <row r="51" spans="1:19" ht="36">
      <c r="A51" s="32"/>
      <c r="B51" s="36">
        <f t="shared" si="0"/>
        <v>42</v>
      </c>
      <c r="C51" s="38" t="s">
        <v>260</v>
      </c>
      <c r="D51" s="37" t="s">
        <v>267</v>
      </c>
      <c r="E51" s="37" t="s">
        <v>268</v>
      </c>
      <c r="F51" s="37" t="s">
        <v>269</v>
      </c>
      <c r="G51" s="37" t="s">
        <v>270</v>
      </c>
      <c r="H51" s="37" t="s">
        <v>265</v>
      </c>
      <c r="I51" s="35" t="s">
        <v>31</v>
      </c>
      <c r="J51" s="37" t="s">
        <v>271</v>
      </c>
      <c r="K51" s="35" t="s">
        <v>31</v>
      </c>
      <c r="L51" s="37">
        <v>1</v>
      </c>
      <c r="M51" s="35">
        <f t="shared" si="1"/>
        <v>500</v>
      </c>
      <c r="N51" s="37">
        <v>501</v>
      </c>
      <c r="O51" s="52" t="s">
        <v>34</v>
      </c>
      <c r="P51" s="53">
        <v>0.33729999999999999</v>
      </c>
      <c r="Q51" s="53">
        <f t="shared" ref="Q51:Q52" si="21">P51*N51</f>
        <v>168.9873</v>
      </c>
      <c r="R51" s="37"/>
      <c r="S51" s="59"/>
    </row>
    <row r="52" spans="1:19" ht="24">
      <c r="A52" s="32"/>
      <c r="B52" s="33">
        <f t="shared" si="0"/>
        <v>43</v>
      </c>
      <c r="C52" s="34" t="s">
        <v>272</v>
      </c>
      <c r="D52" s="35" t="s">
        <v>273</v>
      </c>
      <c r="E52" s="35" t="s">
        <v>274</v>
      </c>
      <c r="F52" s="35" t="s">
        <v>275</v>
      </c>
      <c r="G52" s="35" t="s">
        <v>276</v>
      </c>
      <c r="H52" s="35" t="s">
        <v>277</v>
      </c>
      <c r="I52" s="35" t="s">
        <v>31</v>
      </c>
      <c r="J52" s="35" t="s">
        <v>278</v>
      </c>
      <c r="K52" s="35" t="s">
        <v>31</v>
      </c>
      <c r="L52" s="35">
        <v>1</v>
      </c>
      <c r="M52" s="35">
        <f t="shared" si="1"/>
        <v>500</v>
      </c>
      <c r="N52" s="35">
        <v>501</v>
      </c>
      <c r="O52" s="55" t="s">
        <v>34</v>
      </c>
      <c r="P52" s="56">
        <v>3.3075000000000001</v>
      </c>
      <c r="Q52" s="56">
        <f t="shared" si="21"/>
        <v>1657.0574999999999</v>
      </c>
      <c r="R52" s="35"/>
      <c r="S52" s="59"/>
    </row>
    <row r="53" spans="1:19" ht="36">
      <c r="A53" s="32"/>
      <c r="B53" s="36">
        <f t="shared" si="0"/>
        <v>44</v>
      </c>
      <c r="C53" s="38" t="s">
        <v>260</v>
      </c>
      <c r="D53" s="37" t="s">
        <v>279</v>
      </c>
      <c r="E53" s="37" t="s">
        <v>280</v>
      </c>
      <c r="F53" s="37" t="s">
        <v>281</v>
      </c>
      <c r="G53" s="37" t="s">
        <v>282</v>
      </c>
      <c r="H53" s="37" t="s">
        <v>283</v>
      </c>
      <c r="I53" s="35" t="s">
        <v>31</v>
      </c>
      <c r="J53" s="37" t="s">
        <v>284</v>
      </c>
      <c r="K53" s="35" t="s">
        <v>31</v>
      </c>
      <c r="L53" s="37">
        <v>1</v>
      </c>
      <c r="M53" s="35">
        <f t="shared" si="1"/>
        <v>500</v>
      </c>
      <c r="N53" s="37">
        <v>502</v>
      </c>
      <c r="O53" s="52" t="s">
        <v>34</v>
      </c>
      <c r="P53" s="53">
        <v>7.5200000000000003E-2</v>
      </c>
      <c r="Q53" s="53">
        <f t="shared" ref="Q53:Q54" si="22">P53*N53</f>
        <v>37.750399999999999</v>
      </c>
      <c r="R53" s="37"/>
      <c r="S53" s="59"/>
    </row>
    <row r="54" spans="1:19" ht="24">
      <c r="A54" s="32"/>
      <c r="B54" s="33">
        <f t="shared" si="0"/>
        <v>45</v>
      </c>
      <c r="C54" s="34" t="s">
        <v>260</v>
      </c>
      <c r="D54" s="35" t="s">
        <v>285</v>
      </c>
      <c r="E54" s="35" t="s">
        <v>286</v>
      </c>
      <c r="F54" s="35" t="s">
        <v>287</v>
      </c>
      <c r="G54" s="35" t="s">
        <v>288</v>
      </c>
      <c r="H54" s="35" t="s">
        <v>289</v>
      </c>
      <c r="I54" s="35" t="s">
        <v>31</v>
      </c>
      <c r="J54" s="35" t="s">
        <v>290</v>
      </c>
      <c r="K54" s="35" t="s">
        <v>31</v>
      </c>
      <c r="L54" s="35">
        <v>1</v>
      </c>
      <c r="M54" s="35">
        <f t="shared" si="1"/>
        <v>500</v>
      </c>
      <c r="N54" s="35">
        <v>501</v>
      </c>
      <c r="O54" s="55" t="s">
        <v>34</v>
      </c>
      <c r="P54" s="56">
        <v>0.7369</v>
      </c>
      <c r="Q54" s="56">
        <f t="shared" si="22"/>
        <v>369.18689999999998</v>
      </c>
      <c r="R54" s="35"/>
      <c r="S54" s="59"/>
    </row>
    <row r="55" spans="1:19" ht="24">
      <c r="A55" s="32"/>
      <c r="B55" s="36">
        <f t="shared" si="0"/>
        <v>46</v>
      </c>
      <c r="C55" s="38" t="s">
        <v>260</v>
      </c>
      <c r="D55" s="37" t="s">
        <v>291</v>
      </c>
      <c r="E55" s="37" t="s">
        <v>292</v>
      </c>
      <c r="F55" s="37" t="s">
        <v>293</v>
      </c>
      <c r="G55" s="37" t="s">
        <v>294</v>
      </c>
      <c r="H55" s="37" t="s">
        <v>289</v>
      </c>
      <c r="I55" s="35" t="s">
        <v>31</v>
      </c>
      <c r="J55" s="37" t="s">
        <v>295</v>
      </c>
      <c r="K55" s="35" t="s">
        <v>31</v>
      </c>
      <c r="L55" s="37">
        <v>1</v>
      </c>
      <c r="M55" s="35">
        <f t="shared" si="1"/>
        <v>500</v>
      </c>
      <c r="N55" s="37">
        <v>501</v>
      </c>
      <c r="O55" s="52" t="s">
        <v>34</v>
      </c>
      <c r="P55" s="53">
        <v>0.68410000000000004</v>
      </c>
      <c r="Q55" s="53">
        <f t="shared" ref="Q55:Q56" si="23">P55*N55</f>
        <v>342.73410000000001</v>
      </c>
      <c r="R55" s="37"/>
      <c r="S55" s="60"/>
    </row>
    <row r="56" spans="1:19">
      <c r="A56" s="32"/>
      <c r="B56" s="36">
        <f t="shared" si="0"/>
        <v>47</v>
      </c>
      <c r="C56" s="34" t="s">
        <v>296</v>
      </c>
      <c r="D56" s="35" t="s">
        <v>297</v>
      </c>
      <c r="E56" s="35" t="s">
        <v>298</v>
      </c>
      <c r="F56" s="35" t="s">
        <v>31</v>
      </c>
      <c r="G56" s="35" t="s">
        <v>299</v>
      </c>
      <c r="H56" s="35" t="s">
        <v>31</v>
      </c>
      <c r="I56" s="35" t="s">
        <v>31</v>
      </c>
      <c r="J56" s="35" t="s">
        <v>300</v>
      </c>
      <c r="K56" s="35" t="s">
        <v>31</v>
      </c>
      <c r="L56" s="35">
        <v>1</v>
      </c>
      <c r="M56" s="35">
        <f t="shared" si="1"/>
        <v>500</v>
      </c>
      <c r="N56" s="35">
        <v>501</v>
      </c>
      <c r="O56" s="55" t="s">
        <v>34</v>
      </c>
      <c r="P56" s="56">
        <v>1.2330000000000001</v>
      </c>
      <c r="Q56" s="56">
        <f t="shared" si="23"/>
        <v>617.73299999999995</v>
      </c>
      <c r="R56" s="61"/>
      <c r="S56" s="62"/>
    </row>
    <row r="57" spans="1:19" ht="60">
      <c r="A57" s="32"/>
      <c r="B57" s="36">
        <f t="shared" si="0"/>
        <v>48</v>
      </c>
      <c r="C57" s="34" t="s">
        <v>301</v>
      </c>
      <c r="D57" s="35" t="s">
        <v>297</v>
      </c>
      <c r="E57" s="35" t="s">
        <v>302</v>
      </c>
      <c r="F57" s="37" t="s">
        <v>31</v>
      </c>
      <c r="G57" s="37" t="s">
        <v>31</v>
      </c>
      <c r="H57" s="37" t="s">
        <v>31</v>
      </c>
      <c r="I57" s="37" t="s">
        <v>31</v>
      </c>
      <c r="J57" s="37" t="s">
        <v>31</v>
      </c>
      <c r="K57" s="37" t="s">
        <v>31</v>
      </c>
      <c r="L57" s="37">
        <v>1</v>
      </c>
      <c r="M57" s="35">
        <f t="shared" si="1"/>
        <v>500</v>
      </c>
      <c r="N57" s="37">
        <v>500</v>
      </c>
      <c r="O57" s="55" t="s">
        <v>303</v>
      </c>
      <c r="P57" s="53">
        <v>3.08</v>
      </c>
      <c r="Q57" s="53">
        <f t="shared" ref="Q57:Q61" si="24">P57*N57</f>
        <v>1540</v>
      </c>
      <c r="R57" s="37"/>
      <c r="S57" s="59"/>
    </row>
    <row r="58" spans="1:19" ht="72">
      <c r="A58" s="32"/>
      <c r="B58" s="36">
        <f t="shared" si="0"/>
        <v>49</v>
      </c>
      <c r="C58" s="34" t="s">
        <v>304</v>
      </c>
      <c r="D58" s="35" t="s">
        <v>297</v>
      </c>
      <c r="E58" s="35" t="s">
        <v>305</v>
      </c>
      <c r="F58" s="37" t="s">
        <v>31</v>
      </c>
      <c r="G58" s="37" t="s">
        <v>31</v>
      </c>
      <c r="H58" s="37" t="s">
        <v>31</v>
      </c>
      <c r="I58" s="37" t="s">
        <v>31</v>
      </c>
      <c r="J58" s="37" t="s">
        <v>31</v>
      </c>
      <c r="K58" s="37" t="s">
        <v>31</v>
      </c>
      <c r="L58" s="37">
        <v>1</v>
      </c>
      <c r="M58" s="35">
        <f t="shared" si="1"/>
        <v>500</v>
      </c>
      <c r="N58" s="37">
        <v>1</v>
      </c>
      <c r="O58" s="55" t="s">
        <v>303</v>
      </c>
      <c r="P58" s="53">
        <v>0.66</v>
      </c>
      <c r="Q58" s="53">
        <f t="shared" si="24"/>
        <v>0.66</v>
      </c>
      <c r="R58" s="37"/>
      <c r="S58" s="59"/>
    </row>
    <row r="59" spans="1:19">
      <c r="A59" s="32"/>
      <c r="B59" s="36">
        <f t="shared" si="0"/>
        <v>50</v>
      </c>
      <c r="C59" s="83" t="s">
        <v>332</v>
      </c>
      <c r="D59" s="84" t="s">
        <v>297</v>
      </c>
      <c r="E59" s="66" t="s">
        <v>333</v>
      </c>
      <c r="F59" s="37" t="s">
        <v>31</v>
      </c>
      <c r="G59" s="66" t="s">
        <v>334</v>
      </c>
      <c r="H59" s="37" t="s">
        <v>31</v>
      </c>
      <c r="I59" s="37" t="s">
        <v>31</v>
      </c>
      <c r="J59" s="37" t="s">
        <v>31</v>
      </c>
      <c r="K59" s="37" t="s">
        <v>31</v>
      </c>
      <c r="L59" s="37">
        <v>3</v>
      </c>
      <c r="M59" s="35">
        <f t="shared" si="1"/>
        <v>1500</v>
      </c>
      <c r="N59" s="37">
        <v>1550</v>
      </c>
      <c r="O59" s="55" t="s">
        <v>303</v>
      </c>
      <c r="P59" s="53">
        <v>2.5399999999999999E-2</v>
      </c>
      <c r="Q59" s="53">
        <f t="shared" si="24"/>
        <v>39.369999999999997</v>
      </c>
      <c r="R59" s="37"/>
      <c r="S59" s="59"/>
    </row>
    <row r="60" spans="1:19">
      <c r="A60" s="32"/>
      <c r="B60" s="36">
        <f t="shared" si="0"/>
        <v>51</v>
      </c>
      <c r="C60" s="85"/>
      <c r="D60" s="86"/>
      <c r="E60" s="66" t="s">
        <v>335</v>
      </c>
      <c r="F60" s="37" t="s">
        <v>31</v>
      </c>
      <c r="G60" s="66" t="s">
        <v>336</v>
      </c>
      <c r="H60" s="37" t="s">
        <v>31</v>
      </c>
      <c r="I60" s="37" t="s">
        <v>31</v>
      </c>
      <c r="J60" s="37" t="s">
        <v>31</v>
      </c>
      <c r="K60" s="37" t="s">
        <v>31</v>
      </c>
      <c r="L60" s="37">
        <v>2</v>
      </c>
      <c r="M60" s="35">
        <f t="shared" si="1"/>
        <v>1000</v>
      </c>
      <c r="N60" s="37">
        <v>1050</v>
      </c>
      <c r="O60" s="55" t="s">
        <v>303</v>
      </c>
      <c r="P60" s="53">
        <v>3.6799999999999999E-2</v>
      </c>
      <c r="Q60" s="53">
        <f t="shared" si="24"/>
        <v>38.64</v>
      </c>
      <c r="R60" s="37"/>
      <c r="S60" s="59"/>
    </row>
    <row r="61" spans="1:19" ht="15.75" thickBot="1">
      <c r="A61" s="32"/>
      <c r="B61" s="36">
        <f t="shared" si="0"/>
        <v>52</v>
      </c>
      <c r="C61" s="87"/>
      <c r="D61" s="88"/>
      <c r="E61" s="66" t="s">
        <v>337</v>
      </c>
      <c r="F61" s="37" t="s">
        <v>31</v>
      </c>
      <c r="G61" s="66" t="s">
        <v>338</v>
      </c>
      <c r="H61" s="37" t="s">
        <v>31</v>
      </c>
      <c r="I61" s="37" t="s">
        <v>31</v>
      </c>
      <c r="J61" s="37" t="s">
        <v>31</v>
      </c>
      <c r="K61" s="37" t="s">
        <v>31</v>
      </c>
      <c r="L61" s="37">
        <v>4</v>
      </c>
      <c r="M61" s="35">
        <f t="shared" si="1"/>
        <v>2000</v>
      </c>
      <c r="N61" s="82">
        <v>2050</v>
      </c>
      <c r="O61" s="55" t="s">
        <v>303</v>
      </c>
      <c r="P61" s="53">
        <v>1.44E-2</v>
      </c>
      <c r="Q61" s="53">
        <f t="shared" si="24"/>
        <v>29.52</v>
      </c>
      <c r="R61" s="37"/>
      <c r="S61" s="59"/>
    </row>
    <row r="62" spans="1:19" ht="19.5" thickBot="1">
      <c r="A62" s="2"/>
      <c r="B62" s="41"/>
      <c r="C62" s="42"/>
      <c r="D62" s="43"/>
      <c r="E62" s="44"/>
      <c r="F62" s="45"/>
      <c r="G62" s="46"/>
      <c r="H62" s="45"/>
      <c r="I62" s="46"/>
      <c r="J62" s="45"/>
      <c r="K62" s="46"/>
      <c r="L62" s="46"/>
      <c r="M62" s="46"/>
      <c r="N62" s="74" t="s">
        <v>306</v>
      </c>
      <c r="O62" s="75"/>
      <c r="P62" s="75"/>
      <c r="Q62" s="63">
        <f>SUM(Q10:Q61)</f>
        <v>9465.7401000000009</v>
      </c>
      <c r="R62" s="78"/>
      <c r="S62" s="79"/>
    </row>
    <row r="63" spans="1:19" ht="18.75">
      <c r="A63" s="2"/>
      <c r="B63" s="47"/>
      <c r="C63" s="48"/>
      <c r="D63" s="49"/>
      <c r="E63" s="50"/>
      <c r="F63" s="50"/>
      <c r="G63" s="50"/>
      <c r="H63" s="50"/>
      <c r="I63" s="50"/>
      <c r="J63" s="50"/>
      <c r="K63" s="50"/>
      <c r="L63" s="50"/>
      <c r="M63" s="50"/>
      <c r="N63" s="74" t="s">
        <v>307</v>
      </c>
      <c r="O63" s="75"/>
      <c r="P63" s="75"/>
      <c r="Q63" s="64">
        <f>Q62/500</f>
        <v>18.931480200000003</v>
      </c>
      <c r="R63" s="80"/>
      <c r="S63" s="81"/>
    </row>
  </sheetData>
  <mergeCells count="7">
    <mergeCell ref="C59:C61"/>
    <mergeCell ref="D59:D61"/>
    <mergeCell ref="K1:S1"/>
    <mergeCell ref="N62:P62"/>
    <mergeCell ref="N63:P63"/>
    <mergeCell ref="S3:S8"/>
    <mergeCell ref="R62:S63"/>
  </mergeCells>
  <hyperlinks>
    <hyperlink ref="O56" r:id="rId1"/>
    <hyperlink ref="O58" r:id="rId2"/>
    <hyperlink ref="O12" r:id="rId3"/>
    <hyperlink ref="O15" r:id="rId4"/>
    <hyperlink ref="O10" r:id="rId5"/>
    <hyperlink ref="O11" r:id="rId6"/>
    <hyperlink ref="O14" r:id="rId7"/>
    <hyperlink ref="O13" r:id="rId8"/>
    <hyperlink ref="O18" r:id="rId9"/>
    <hyperlink ref="O23" r:id="rId10"/>
    <hyperlink ref="O22" r:id="rId11"/>
    <hyperlink ref="O24" r:id="rId12"/>
    <hyperlink ref="O17" r:id="rId13"/>
    <hyperlink ref="O19" r:id="rId14"/>
    <hyperlink ref="O21" r:id="rId15"/>
    <hyperlink ref="O26" r:id="rId16"/>
    <hyperlink ref="O27" r:id="rId17"/>
    <hyperlink ref="O25" r:id="rId18"/>
    <hyperlink ref="O20" r:id="rId19"/>
    <hyperlink ref="O28" r:id="rId20"/>
    <hyperlink ref="O29" r:id="rId21"/>
    <hyperlink ref="O30" r:id="rId22"/>
    <hyperlink ref="O31" r:id="rId23"/>
    <hyperlink ref="O33" r:id="rId24"/>
    <hyperlink ref="O32" r:id="rId25"/>
    <hyperlink ref="O36" r:id="rId26"/>
    <hyperlink ref="O40" r:id="rId27"/>
    <hyperlink ref="O34" r:id="rId28"/>
    <hyperlink ref="O35" r:id="rId29"/>
    <hyperlink ref="O37" r:id="rId30"/>
    <hyperlink ref="O39" r:id="rId31"/>
    <hyperlink ref="O38" r:id="rId32"/>
    <hyperlink ref="O42" r:id="rId33"/>
    <hyperlink ref="O41" r:id="rId34"/>
    <hyperlink ref="O46" r:id="rId35"/>
    <hyperlink ref="O48" r:id="rId36"/>
    <hyperlink ref="O49" r:id="rId37"/>
    <hyperlink ref="O50" r:id="rId38"/>
    <hyperlink ref="O51" r:id="rId39"/>
    <hyperlink ref="O47" r:id="rId40"/>
    <hyperlink ref="O45" r:id="rId41"/>
    <hyperlink ref="O43" r:id="rId42"/>
    <hyperlink ref="O44" r:id="rId43"/>
    <hyperlink ref="O52" r:id="rId44"/>
    <hyperlink ref="O53" r:id="rId45"/>
    <hyperlink ref="O54" r:id="rId46"/>
    <hyperlink ref="O55" r:id="rId47"/>
    <hyperlink ref="O57" r:id="rId48"/>
    <hyperlink ref="O16" r:id="rId49"/>
    <hyperlink ref="O59" r:id="rId50"/>
    <hyperlink ref="O60" r:id="rId51"/>
    <hyperlink ref="O61" r:id="rId52"/>
  </hyperlinks>
  <pageMargins left="0.7" right="0.7" top="0.75" bottom="0.75" header="0.3" footer="0.3"/>
  <drawing r:id="rId5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63"/>
  <sheetViews>
    <sheetView topLeftCell="A50" workbookViewId="0">
      <selection activeCell="A63" sqref="A63"/>
    </sheetView>
  </sheetViews>
  <sheetFormatPr defaultColWidth="9" defaultRowHeight="15"/>
  <cols>
    <col min="2" max="2" width="3" customWidth="1"/>
    <col min="3" max="3" width="9.85546875" customWidth="1"/>
    <col min="4" max="4" width="31.140625" customWidth="1"/>
    <col min="5" max="5" width="33.7109375" customWidth="1"/>
    <col min="6" max="6" width="14.85546875" customWidth="1"/>
    <col min="7" max="7" width="25.28515625" customWidth="1"/>
    <col min="8" max="8" width="13.28515625" customWidth="1"/>
    <col min="9" max="9" width="21.5703125" customWidth="1"/>
    <col min="10" max="10" width="17" customWidth="1"/>
    <col min="11" max="11" width="6.85546875" customWidth="1"/>
    <col min="12" max="12" width="8.7109375" customWidth="1"/>
    <col min="13" max="13" width="20.28515625" customWidth="1"/>
    <col min="14" max="14" width="18.28515625" customWidth="1"/>
    <col min="15" max="15" width="11.7109375" customWidth="1"/>
    <col min="16" max="16" width="21.85546875" customWidth="1"/>
    <col min="17" max="17" width="22.42578125" customWidth="1"/>
    <col min="19" max="19" width="26" customWidth="1"/>
  </cols>
  <sheetData>
    <row r="1" spans="1:19">
      <c r="A1" s="2"/>
      <c r="B1" s="3"/>
      <c r="C1" s="3"/>
      <c r="D1" s="4"/>
      <c r="E1" s="4"/>
      <c r="F1" s="4"/>
      <c r="G1" s="4"/>
      <c r="H1" s="4"/>
      <c r="I1" s="4"/>
      <c r="J1" s="4"/>
      <c r="K1" s="72"/>
      <c r="L1" s="72"/>
      <c r="M1" s="72"/>
      <c r="N1" s="72"/>
      <c r="O1" s="72"/>
      <c r="P1" s="72"/>
      <c r="Q1" s="72"/>
      <c r="R1" s="72"/>
      <c r="S1" s="73"/>
    </row>
    <row r="2" spans="1:19" ht="31.5">
      <c r="A2" s="2"/>
      <c r="B2" s="5"/>
      <c r="C2" s="6"/>
      <c r="D2" s="7" t="s">
        <v>0</v>
      </c>
      <c r="E2" s="7"/>
      <c r="F2" s="69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57"/>
    </row>
    <row r="3" spans="1:19">
      <c r="A3" s="2"/>
      <c r="B3" s="10"/>
      <c r="C3" s="11"/>
      <c r="D3" s="12" t="s">
        <v>2</v>
      </c>
      <c r="E3" s="12"/>
      <c r="F3" s="70" t="s">
        <v>3</v>
      </c>
      <c r="G3" s="12"/>
      <c r="H3" s="13"/>
      <c r="I3" s="12"/>
      <c r="J3" s="13"/>
      <c r="K3" s="13"/>
      <c r="L3" s="13"/>
      <c r="M3" s="13"/>
      <c r="N3" s="13"/>
      <c r="O3" s="13"/>
      <c r="P3" s="13"/>
      <c r="Q3" s="13"/>
      <c r="R3" s="13"/>
      <c r="S3" s="76"/>
    </row>
    <row r="4" spans="1:19">
      <c r="A4" s="2"/>
      <c r="B4" s="10"/>
      <c r="C4" s="11"/>
      <c r="D4" s="12" t="s">
        <v>4</v>
      </c>
      <c r="E4" s="12"/>
      <c r="F4" s="70" t="s">
        <v>3</v>
      </c>
      <c r="G4" s="14"/>
      <c r="H4" s="15"/>
      <c r="I4" s="14"/>
      <c r="J4" s="15"/>
      <c r="K4" s="15"/>
      <c r="L4" s="17"/>
      <c r="M4" s="17"/>
      <c r="N4" s="17"/>
      <c r="O4" s="17"/>
      <c r="P4" s="17"/>
      <c r="Q4" s="17"/>
      <c r="R4" s="17"/>
      <c r="S4" s="77"/>
    </row>
    <row r="5" spans="1:19">
      <c r="A5" s="2"/>
      <c r="B5" s="10"/>
      <c r="C5" s="11"/>
      <c r="D5" s="12" t="s">
        <v>5</v>
      </c>
      <c r="E5" s="12"/>
      <c r="F5" s="71" t="s">
        <v>6</v>
      </c>
      <c r="G5" s="16"/>
      <c r="H5" s="17"/>
      <c r="I5" s="16"/>
      <c r="J5" s="17"/>
      <c r="K5" s="17"/>
      <c r="L5" s="17"/>
      <c r="M5" s="17"/>
      <c r="N5" s="17"/>
      <c r="O5" s="17"/>
      <c r="P5" s="17"/>
      <c r="Q5" s="17"/>
      <c r="R5" s="17"/>
      <c r="S5" s="77"/>
    </row>
    <row r="6" spans="1:19">
      <c r="A6" s="2"/>
      <c r="B6" s="18"/>
      <c r="C6" s="19"/>
      <c r="D6" s="20"/>
      <c r="E6" s="20"/>
      <c r="F6" s="21"/>
      <c r="G6" s="16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77"/>
    </row>
    <row r="7" spans="1:19">
      <c r="A7" s="2"/>
      <c r="B7" s="22"/>
      <c r="C7" s="23"/>
      <c r="D7" s="24"/>
      <c r="E7" s="24"/>
      <c r="F7" s="25"/>
      <c r="G7" s="24"/>
      <c r="H7" s="26"/>
      <c r="I7" s="24"/>
      <c r="J7" s="26"/>
      <c r="K7" s="26"/>
      <c r="L7" s="26"/>
      <c r="M7" s="26"/>
      <c r="N7" s="26"/>
      <c r="O7" s="26"/>
      <c r="P7" s="26"/>
      <c r="Q7" s="26"/>
      <c r="R7" s="26"/>
      <c r="S7" s="77"/>
    </row>
    <row r="8" spans="1:19">
      <c r="A8" s="2"/>
      <c r="B8" s="27"/>
      <c r="C8" s="28"/>
      <c r="D8" s="29"/>
      <c r="E8" s="29"/>
      <c r="F8" s="30"/>
      <c r="G8" s="24"/>
      <c r="H8" s="26"/>
      <c r="I8" s="24"/>
      <c r="J8" s="26"/>
      <c r="K8" s="26"/>
      <c r="L8" s="26"/>
      <c r="M8" s="26"/>
      <c r="N8" s="26"/>
      <c r="O8" s="26"/>
      <c r="P8" s="26"/>
      <c r="Q8" s="26"/>
      <c r="R8" s="26"/>
      <c r="S8" s="77"/>
    </row>
    <row r="9" spans="1:19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  <c r="M9" s="31" t="s">
        <v>328</v>
      </c>
      <c r="N9" s="31" t="s">
        <v>329</v>
      </c>
      <c r="O9" s="31" t="s">
        <v>20</v>
      </c>
      <c r="P9" s="31" t="s">
        <v>330</v>
      </c>
      <c r="Q9" s="31" t="s">
        <v>331</v>
      </c>
      <c r="R9" s="31" t="s">
        <v>23</v>
      </c>
      <c r="S9" s="31" t="s">
        <v>24</v>
      </c>
    </row>
    <row r="10" spans="1:19" s="1" customFormat="1">
      <c r="A10" s="32"/>
      <c r="B10" s="33">
        <f>ROW(B10)-ROW($B$9)</f>
        <v>1</v>
      </c>
      <c r="C10" s="34" t="s">
        <v>25</v>
      </c>
      <c r="D10" s="35" t="s">
        <v>26</v>
      </c>
      <c r="E10" s="35" t="s">
        <v>27</v>
      </c>
      <c r="F10" s="35" t="s">
        <v>28</v>
      </c>
      <c r="G10" s="35" t="s">
        <v>29</v>
      </c>
      <c r="H10" s="35" t="s">
        <v>30</v>
      </c>
      <c r="I10" s="35" t="s">
        <v>31</v>
      </c>
      <c r="J10" s="51" t="s">
        <v>32</v>
      </c>
      <c r="K10" s="35" t="s">
        <v>33</v>
      </c>
      <c r="L10" s="35">
        <v>6</v>
      </c>
      <c r="M10" s="35">
        <f>L10*5000</f>
        <v>30000</v>
      </c>
      <c r="N10" s="35">
        <v>30020</v>
      </c>
      <c r="O10" s="52" t="s">
        <v>34</v>
      </c>
      <c r="P10" s="53">
        <v>1.8700000000000001E-2</v>
      </c>
      <c r="Q10" s="56">
        <f>P10*N10</f>
        <v>561.37400000000002</v>
      </c>
      <c r="R10" s="35"/>
      <c r="S10" s="58"/>
    </row>
    <row r="11" spans="1:19" s="1" customFormat="1" ht="24">
      <c r="A11" s="32"/>
      <c r="B11" s="36">
        <f t="shared" ref="B11:B61" si="0">ROW(B11)-ROW($B$9)</f>
        <v>2</v>
      </c>
      <c r="C11" s="34" t="s">
        <v>25</v>
      </c>
      <c r="D11" s="37" t="s">
        <v>35</v>
      </c>
      <c r="E11" s="37" t="s">
        <v>36</v>
      </c>
      <c r="F11" s="37" t="s">
        <v>37</v>
      </c>
      <c r="G11" s="37" t="s">
        <v>38</v>
      </c>
      <c r="H11" s="37" t="s">
        <v>30</v>
      </c>
      <c r="I11" s="35" t="s">
        <v>31</v>
      </c>
      <c r="J11" s="54" t="s">
        <v>39</v>
      </c>
      <c r="K11" s="37" t="s">
        <v>40</v>
      </c>
      <c r="L11" s="37">
        <v>14</v>
      </c>
      <c r="M11" s="35">
        <f t="shared" ref="M11:M61" si="1">L11*5000</f>
        <v>70000</v>
      </c>
      <c r="N11" s="37">
        <v>70100</v>
      </c>
      <c r="O11" s="52" t="s">
        <v>34</v>
      </c>
      <c r="P11" s="53">
        <v>1.1000000000000001E-3</v>
      </c>
      <c r="Q11" s="53">
        <f t="shared" ref="Q11:Q12" si="2">P11*N11</f>
        <v>77.11</v>
      </c>
      <c r="R11" s="37"/>
      <c r="S11" s="37"/>
    </row>
    <row r="12" spans="1:19" s="1" customFormat="1" ht="24">
      <c r="A12" s="32"/>
      <c r="B12" s="33">
        <f t="shared" si="0"/>
        <v>3</v>
      </c>
      <c r="C12" s="34" t="s">
        <v>25</v>
      </c>
      <c r="D12" s="35" t="s">
        <v>41</v>
      </c>
      <c r="E12" s="35" t="s">
        <v>42</v>
      </c>
      <c r="F12" s="35" t="s">
        <v>43</v>
      </c>
      <c r="G12" s="35" t="s">
        <v>44</v>
      </c>
      <c r="H12" s="35" t="s">
        <v>30</v>
      </c>
      <c r="I12" s="35" t="s">
        <v>31</v>
      </c>
      <c r="J12" s="51" t="s">
        <v>45</v>
      </c>
      <c r="K12" s="35" t="s">
        <v>46</v>
      </c>
      <c r="L12" s="35">
        <v>3</v>
      </c>
      <c r="M12" s="35">
        <f t="shared" si="1"/>
        <v>15000</v>
      </c>
      <c r="N12" s="35">
        <v>15050</v>
      </c>
      <c r="O12" s="55" t="s">
        <v>34</v>
      </c>
      <c r="P12" s="56">
        <v>1.0699999999999999E-2</v>
      </c>
      <c r="Q12" s="56">
        <f t="shared" si="2"/>
        <v>161.035</v>
      </c>
      <c r="R12" s="35"/>
      <c r="S12" s="59"/>
    </row>
    <row r="13" spans="1:19" s="1" customFormat="1">
      <c r="A13" s="32"/>
      <c r="B13" s="36">
        <f t="shared" si="0"/>
        <v>4</v>
      </c>
      <c r="C13" s="34" t="s">
        <v>25</v>
      </c>
      <c r="D13" s="37" t="s">
        <v>47</v>
      </c>
      <c r="E13" s="37" t="s">
        <v>48</v>
      </c>
      <c r="F13" s="37" t="s">
        <v>37</v>
      </c>
      <c r="G13" s="37" t="s">
        <v>49</v>
      </c>
      <c r="H13" s="37" t="s">
        <v>30</v>
      </c>
      <c r="I13" s="35" t="s">
        <v>31</v>
      </c>
      <c r="J13" s="54" t="s">
        <v>50</v>
      </c>
      <c r="K13" s="37" t="s">
        <v>51</v>
      </c>
      <c r="L13" s="37">
        <v>2</v>
      </c>
      <c r="M13" s="35">
        <f t="shared" si="1"/>
        <v>10000</v>
      </c>
      <c r="N13" s="35">
        <v>10100</v>
      </c>
      <c r="O13" s="52" t="s">
        <v>34</v>
      </c>
      <c r="P13" s="53">
        <v>1.4E-3</v>
      </c>
      <c r="Q13" s="53">
        <f t="shared" ref="Q13:Q14" si="3">P13*N13</f>
        <v>14.14</v>
      </c>
      <c r="R13" s="37"/>
      <c r="S13" s="59"/>
    </row>
    <row r="14" spans="1:19" s="1" customFormat="1">
      <c r="A14" s="32"/>
      <c r="B14" s="33">
        <f t="shared" si="0"/>
        <v>5</v>
      </c>
      <c r="C14" s="34" t="s">
        <v>25</v>
      </c>
      <c r="D14" s="35" t="s">
        <v>52</v>
      </c>
      <c r="E14" s="35" t="s">
        <v>53</v>
      </c>
      <c r="F14" s="35" t="s">
        <v>43</v>
      </c>
      <c r="G14" s="35" t="s">
        <v>54</v>
      </c>
      <c r="H14" s="35" t="s">
        <v>30</v>
      </c>
      <c r="I14" s="35" t="s">
        <v>31</v>
      </c>
      <c r="J14" s="51" t="s">
        <v>55</v>
      </c>
      <c r="K14" s="35" t="s">
        <v>56</v>
      </c>
      <c r="L14" s="35">
        <v>4</v>
      </c>
      <c r="M14" s="35">
        <f t="shared" si="1"/>
        <v>20000</v>
      </c>
      <c r="N14" s="37">
        <v>20100</v>
      </c>
      <c r="O14" s="52" t="s">
        <v>34</v>
      </c>
      <c r="P14" s="53">
        <v>3.5000000000000001E-3</v>
      </c>
      <c r="Q14" s="56">
        <f t="shared" si="3"/>
        <v>70.349999999999994</v>
      </c>
      <c r="R14" s="35"/>
      <c r="S14" s="59"/>
    </row>
    <row r="15" spans="1:19" s="1" customFormat="1">
      <c r="A15" s="32"/>
      <c r="B15" s="36">
        <f t="shared" si="0"/>
        <v>6</v>
      </c>
      <c r="C15" s="34" t="s">
        <v>25</v>
      </c>
      <c r="D15" s="37" t="s">
        <v>57</v>
      </c>
      <c r="E15" s="37" t="s">
        <v>58</v>
      </c>
      <c r="F15" s="37" t="s">
        <v>43</v>
      </c>
      <c r="G15" s="37" t="s">
        <v>59</v>
      </c>
      <c r="H15" s="37" t="s">
        <v>30</v>
      </c>
      <c r="I15" s="35" t="s">
        <v>31</v>
      </c>
      <c r="J15" s="54" t="s">
        <v>60</v>
      </c>
      <c r="K15" s="37" t="s">
        <v>61</v>
      </c>
      <c r="L15" s="37">
        <v>4</v>
      </c>
      <c r="M15" s="35">
        <f t="shared" si="1"/>
        <v>20000</v>
      </c>
      <c r="N15" s="35">
        <v>20010</v>
      </c>
      <c r="O15" s="52" t="s">
        <v>34</v>
      </c>
      <c r="P15" s="53">
        <v>3.1099999999999999E-2</v>
      </c>
      <c r="Q15" s="53">
        <f t="shared" ref="Q15:Q17" si="4">P15*N15</f>
        <v>622.31100000000004</v>
      </c>
      <c r="R15" s="37"/>
      <c r="S15" s="59"/>
    </row>
    <row r="16" spans="1:19">
      <c r="A16" s="2"/>
      <c r="B16" s="36">
        <f t="shared" si="0"/>
        <v>7</v>
      </c>
      <c r="C16" s="34" t="s">
        <v>25</v>
      </c>
      <c r="D16" s="35" t="s">
        <v>62</v>
      </c>
      <c r="E16" s="35" t="s">
        <v>63</v>
      </c>
      <c r="F16" s="35" t="s">
        <v>64</v>
      </c>
      <c r="G16" s="35" t="s">
        <v>65</v>
      </c>
      <c r="H16" s="35" t="s">
        <v>30</v>
      </c>
      <c r="I16" s="35" t="s">
        <v>31</v>
      </c>
      <c r="J16" s="35" t="s">
        <v>66</v>
      </c>
      <c r="K16" s="35" t="s">
        <v>67</v>
      </c>
      <c r="L16" s="35">
        <v>1</v>
      </c>
      <c r="M16" s="35">
        <f t="shared" si="1"/>
        <v>5000</v>
      </c>
      <c r="N16" s="35">
        <v>5100</v>
      </c>
      <c r="O16" s="55" t="s">
        <v>34</v>
      </c>
      <c r="P16" s="56">
        <v>1.38E-2</v>
      </c>
      <c r="Q16" s="56">
        <f t="shared" si="4"/>
        <v>70.38</v>
      </c>
      <c r="R16" s="35"/>
      <c r="S16" s="59"/>
    </row>
    <row r="17" spans="1:19" s="1" customFormat="1" ht="24">
      <c r="A17" s="32"/>
      <c r="B17" s="33">
        <f t="shared" si="0"/>
        <v>8</v>
      </c>
      <c r="C17" s="34" t="s">
        <v>68</v>
      </c>
      <c r="D17" s="35" t="s">
        <v>69</v>
      </c>
      <c r="E17" s="35" t="s">
        <v>70</v>
      </c>
      <c r="F17" s="35" t="s">
        <v>71</v>
      </c>
      <c r="G17" s="35" t="s">
        <v>72</v>
      </c>
      <c r="H17" s="35" t="s">
        <v>73</v>
      </c>
      <c r="I17" s="35" t="s">
        <v>31</v>
      </c>
      <c r="J17" s="51" t="s">
        <v>74</v>
      </c>
      <c r="K17" s="35" t="s">
        <v>31</v>
      </c>
      <c r="L17" s="35">
        <v>1</v>
      </c>
      <c r="M17" s="35">
        <f t="shared" si="1"/>
        <v>5000</v>
      </c>
      <c r="N17" s="35">
        <v>5010</v>
      </c>
      <c r="O17" s="55" t="s">
        <v>34</v>
      </c>
      <c r="P17" s="56">
        <v>1.8599999999999998E-2</v>
      </c>
      <c r="Q17" s="56">
        <f t="shared" si="4"/>
        <v>93.186000000000007</v>
      </c>
      <c r="R17" s="35"/>
      <c r="S17" s="59"/>
    </row>
    <row r="18" spans="1:19" s="1" customFormat="1" ht="36">
      <c r="A18" s="32"/>
      <c r="B18" s="36">
        <f t="shared" si="0"/>
        <v>9</v>
      </c>
      <c r="C18" s="34" t="s">
        <v>68</v>
      </c>
      <c r="D18" s="37" t="s">
        <v>75</v>
      </c>
      <c r="E18" s="37" t="s">
        <v>76</v>
      </c>
      <c r="F18" s="37" t="s">
        <v>77</v>
      </c>
      <c r="G18" s="37" t="s">
        <v>78</v>
      </c>
      <c r="H18" s="37" t="s">
        <v>79</v>
      </c>
      <c r="I18" s="35" t="s">
        <v>31</v>
      </c>
      <c r="J18" s="54" t="s">
        <v>80</v>
      </c>
      <c r="K18" s="35" t="s">
        <v>31</v>
      </c>
      <c r="L18" s="37">
        <v>1</v>
      </c>
      <c r="M18" s="35">
        <f t="shared" si="1"/>
        <v>5000</v>
      </c>
      <c r="N18" s="35">
        <v>5010</v>
      </c>
      <c r="O18" s="52" t="s">
        <v>34</v>
      </c>
      <c r="P18" s="53">
        <v>2.52E-2</v>
      </c>
      <c r="Q18" s="53">
        <f t="shared" ref="Q18:Q19" si="5">P18*N18</f>
        <v>126.252</v>
      </c>
      <c r="R18" s="37"/>
      <c r="S18" s="59"/>
    </row>
    <row r="19" spans="1:19" s="1" customFormat="1" ht="36">
      <c r="A19" s="32"/>
      <c r="B19" s="33">
        <f t="shared" si="0"/>
        <v>10</v>
      </c>
      <c r="C19" s="34" t="s">
        <v>81</v>
      </c>
      <c r="D19" s="35" t="s">
        <v>82</v>
      </c>
      <c r="E19" s="35" t="s">
        <v>83</v>
      </c>
      <c r="F19" s="35" t="s">
        <v>84</v>
      </c>
      <c r="G19" s="35" t="s">
        <v>85</v>
      </c>
      <c r="H19" s="35" t="s">
        <v>86</v>
      </c>
      <c r="I19" s="35" t="s">
        <v>31</v>
      </c>
      <c r="J19" s="51" t="s">
        <v>87</v>
      </c>
      <c r="K19" s="35" t="s">
        <v>31</v>
      </c>
      <c r="L19" s="35">
        <v>1</v>
      </c>
      <c r="M19" s="35">
        <f t="shared" si="1"/>
        <v>5000</v>
      </c>
      <c r="N19" s="37">
        <v>5005</v>
      </c>
      <c r="O19" s="55" t="s">
        <v>34</v>
      </c>
      <c r="P19" s="56">
        <v>4.8899999999999999E-2</v>
      </c>
      <c r="Q19" s="56">
        <f t="shared" si="5"/>
        <v>244.74449999999999</v>
      </c>
      <c r="R19" s="35"/>
      <c r="S19" s="59"/>
    </row>
    <row r="20" spans="1:19" s="1" customFormat="1" ht="36">
      <c r="A20" s="32"/>
      <c r="B20" s="36">
        <f t="shared" si="0"/>
        <v>11</v>
      </c>
      <c r="C20" s="38" t="s">
        <v>88</v>
      </c>
      <c r="D20" s="37" t="s">
        <v>89</v>
      </c>
      <c r="E20" s="37" t="s">
        <v>90</v>
      </c>
      <c r="F20" s="37" t="s">
        <v>91</v>
      </c>
      <c r="G20" s="37" t="s">
        <v>92</v>
      </c>
      <c r="H20" s="37" t="s">
        <v>93</v>
      </c>
      <c r="I20" s="35" t="s">
        <v>31</v>
      </c>
      <c r="J20" s="54" t="s">
        <v>94</v>
      </c>
      <c r="K20" s="35" t="s">
        <v>31</v>
      </c>
      <c r="L20" s="37">
        <v>3</v>
      </c>
      <c r="M20" s="35">
        <f t="shared" si="1"/>
        <v>15000</v>
      </c>
      <c r="N20" s="35">
        <v>15100</v>
      </c>
      <c r="O20" s="55" t="s">
        <v>34</v>
      </c>
      <c r="P20" s="56">
        <v>4.5999999999999999E-3</v>
      </c>
      <c r="Q20" s="53">
        <f t="shared" ref="Q20:Q21" si="6">P20*N20</f>
        <v>69.459999999999994</v>
      </c>
      <c r="R20" s="37"/>
      <c r="S20" s="59"/>
    </row>
    <row r="21" spans="1:19" s="1" customFormat="1" ht="25.5">
      <c r="A21" s="32"/>
      <c r="B21" s="33">
        <f t="shared" si="0"/>
        <v>12</v>
      </c>
      <c r="C21" s="34" t="s">
        <v>88</v>
      </c>
      <c r="D21" s="35" t="s">
        <v>95</v>
      </c>
      <c r="E21" s="35" t="s">
        <v>96</v>
      </c>
      <c r="F21" s="35" t="s">
        <v>97</v>
      </c>
      <c r="G21" s="35" t="s">
        <v>98</v>
      </c>
      <c r="H21" s="35" t="s">
        <v>93</v>
      </c>
      <c r="I21" s="35" t="s">
        <v>31</v>
      </c>
      <c r="J21" s="51" t="s">
        <v>99</v>
      </c>
      <c r="K21" s="35" t="s">
        <v>100</v>
      </c>
      <c r="L21" s="35">
        <v>1</v>
      </c>
      <c r="M21" s="35">
        <f t="shared" si="1"/>
        <v>5000</v>
      </c>
      <c r="N21" s="37">
        <v>5010</v>
      </c>
      <c r="O21" s="55" t="s">
        <v>34</v>
      </c>
      <c r="P21" s="56">
        <v>4.4900000000000002E-2</v>
      </c>
      <c r="Q21" s="56">
        <f t="shared" si="6"/>
        <v>224.94900000000001</v>
      </c>
      <c r="R21" s="35"/>
      <c r="S21" s="59"/>
    </row>
    <row r="22" spans="1:19" s="1" customFormat="1" ht="36">
      <c r="A22" s="32"/>
      <c r="B22" s="36">
        <f t="shared" si="0"/>
        <v>13</v>
      </c>
      <c r="C22" s="38" t="s">
        <v>101</v>
      </c>
      <c r="D22" s="37" t="s">
        <v>102</v>
      </c>
      <c r="E22" s="37" t="s">
        <v>103</v>
      </c>
      <c r="F22" s="37" t="s">
        <v>312</v>
      </c>
      <c r="G22" s="37" t="s">
        <v>105</v>
      </c>
      <c r="H22" s="37" t="s">
        <v>106</v>
      </c>
      <c r="I22" s="35" t="s">
        <v>31</v>
      </c>
      <c r="J22" s="54" t="s">
        <v>107</v>
      </c>
      <c r="K22" s="37" t="s">
        <v>31</v>
      </c>
      <c r="L22" s="37">
        <v>1</v>
      </c>
      <c r="M22" s="35">
        <f t="shared" si="1"/>
        <v>5000</v>
      </c>
      <c r="N22" s="35">
        <v>5020</v>
      </c>
      <c r="O22" s="52" t="s">
        <v>34</v>
      </c>
      <c r="P22" s="53">
        <v>1.78E-2</v>
      </c>
      <c r="Q22" s="53">
        <f t="shared" ref="Q22:Q23" si="7">P22*N22</f>
        <v>89.355999999999995</v>
      </c>
      <c r="R22" s="37"/>
      <c r="S22" s="59"/>
    </row>
    <row r="23" spans="1:19" s="1" customFormat="1" ht="25.5">
      <c r="A23" s="32"/>
      <c r="B23" s="33">
        <f t="shared" si="0"/>
        <v>14</v>
      </c>
      <c r="C23" s="34" t="s">
        <v>108</v>
      </c>
      <c r="D23" s="35" t="s">
        <v>109</v>
      </c>
      <c r="E23" s="35" t="s">
        <v>110</v>
      </c>
      <c r="F23" s="37" t="s">
        <v>312</v>
      </c>
      <c r="G23" s="35" t="s">
        <v>112</v>
      </c>
      <c r="H23" s="35" t="s">
        <v>113</v>
      </c>
      <c r="I23" s="35" t="s">
        <v>31</v>
      </c>
      <c r="J23" s="51" t="s">
        <v>114</v>
      </c>
      <c r="K23" s="37" t="s">
        <v>31</v>
      </c>
      <c r="L23" s="35">
        <v>1</v>
      </c>
      <c r="M23" s="35">
        <f t="shared" si="1"/>
        <v>5000</v>
      </c>
      <c r="N23" s="37">
        <v>5005</v>
      </c>
      <c r="O23" s="55" t="s">
        <v>34</v>
      </c>
      <c r="P23" s="56">
        <v>9.1300000000000006E-2</v>
      </c>
      <c r="Q23" s="56">
        <f t="shared" si="7"/>
        <v>456.95650000000001</v>
      </c>
      <c r="R23" s="35"/>
      <c r="S23" s="59"/>
    </row>
    <row r="24" spans="1:19" s="1" customFormat="1" ht="36">
      <c r="A24" s="32"/>
      <c r="B24" s="36">
        <f t="shared" si="0"/>
        <v>15</v>
      </c>
      <c r="C24" s="38" t="s">
        <v>115</v>
      </c>
      <c r="D24" s="37" t="s">
        <v>116</v>
      </c>
      <c r="E24" s="37" t="s">
        <v>117</v>
      </c>
      <c r="F24" s="37" t="s">
        <v>312</v>
      </c>
      <c r="G24" s="37" t="s">
        <v>119</v>
      </c>
      <c r="H24" s="37" t="s">
        <v>120</v>
      </c>
      <c r="I24" s="35" t="s">
        <v>31</v>
      </c>
      <c r="J24" s="54" t="s">
        <v>119</v>
      </c>
      <c r="K24" s="37" t="s">
        <v>31</v>
      </c>
      <c r="L24" s="37">
        <v>1</v>
      </c>
      <c r="M24" s="35">
        <f t="shared" si="1"/>
        <v>5000</v>
      </c>
      <c r="N24" s="35">
        <v>5004</v>
      </c>
      <c r="O24" s="55" t="s">
        <v>34</v>
      </c>
      <c r="P24" s="56">
        <v>4.2599999999999999E-2</v>
      </c>
      <c r="Q24" s="53">
        <f t="shared" ref="Q24:Q25" si="8">P24*N24</f>
        <v>213.1704</v>
      </c>
      <c r="R24" s="37"/>
      <c r="S24" s="59"/>
    </row>
    <row r="25" spans="1:19" s="1" customFormat="1" ht="24">
      <c r="A25" s="32"/>
      <c r="B25" s="33">
        <f t="shared" si="0"/>
        <v>16</v>
      </c>
      <c r="C25" s="34" t="s">
        <v>121</v>
      </c>
      <c r="D25" s="35" t="s">
        <v>122</v>
      </c>
      <c r="E25" s="35" t="s">
        <v>123</v>
      </c>
      <c r="F25" s="35" t="s">
        <v>124</v>
      </c>
      <c r="G25" s="39">
        <v>61300211121</v>
      </c>
      <c r="H25" s="35" t="s">
        <v>125</v>
      </c>
      <c r="I25" s="35" t="s">
        <v>126</v>
      </c>
      <c r="J25" s="51" t="s">
        <v>127</v>
      </c>
      <c r="K25" s="37" t="s">
        <v>31</v>
      </c>
      <c r="L25" s="35">
        <v>1</v>
      </c>
      <c r="M25" s="35">
        <f t="shared" si="1"/>
        <v>5000</v>
      </c>
      <c r="N25" s="37">
        <v>5020</v>
      </c>
      <c r="O25" s="55" t="s">
        <v>34</v>
      </c>
      <c r="P25" s="56">
        <v>1.4200000000000001E-2</v>
      </c>
      <c r="Q25" s="56">
        <f t="shared" si="8"/>
        <v>71.284000000000006</v>
      </c>
      <c r="R25" s="35"/>
      <c r="S25" s="59"/>
    </row>
    <row r="26" spans="1:19" s="1" customFormat="1" ht="24">
      <c r="A26" s="32"/>
      <c r="B26" s="36">
        <f t="shared" si="0"/>
        <v>17</v>
      </c>
      <c r="C26" s="38" t="s">
        <v>128</v>
      </c>
      <c r="D26" s="37" t="s">
        <v>129</v>
      </c>
      <c r="E26" s="37" t="s">
        <v>130</v>
      </c>
      <c r="F26" s="37" t="s">
        <v>312</v>
      </c>
      <c r="G26" s="37" t="s">
        <v>131</v>
      </c>
      <c r="H26" s="37" t="s">
        <v>132</v>
      </c>
      <c r="I26" s="35" t="s">
        <v>31</v>
      </c>
      <c r="J26" s="54" t="s">
        <v>133</v>
      </c>
      <c r="K26" s="37" t="s">
        <v>134</v>
      </c>
      <c r="L26" s="37">
        <v>1</v>
      </c>
      <c r="M26" s="35">
        <f t="shared" si="1"/>
        <v>5000</v>
      </c>
      <c r="N26" s="35">
        <v>5005</v>
      </c>
      <c r="O26" s="52" t="s">
        <v>34</v>
      </c>
      <c r="P26" s="53">
        <v>4.1599999999999998E-2</v>
      </c>
      <c r="Q26" s="53">
        <f t="shared" ref="Q26:Q27" si="9">P26*N26</f>
        <v>208.208</v>
      </c>
      <c r="R26" s="37"/>
      <c r="S26" s="59"/>
    </row>
    <row r="27" spans="1:19" s="1" customFormat="1" ht="24">
      <c r="A27" s="32"/>
      <c r="B27" s="33">
        <f t="shared" si="0"/>
        <v>18</v>
      </c>
      <c r="C27" s="34" t="s">
        <v>135</v>
      </c>
      <c r="D27" s="35" t="s">
        <v>136</v>
      </c>
      <c r="E27" s="35" t="s">
        <v>137</v>
      </c>
      <c r="F27" s="35" t="s">
        <v>312</v>
      </c>
      <c r="G27" s="35" t="s">
        <v>138</v>
      </c>
      <c r="H27" s="35" t="s">
        <v>139</v>
      </c>
      <c r="I27" s="35" t="s">
        <v>31</v>
      </c>
      <c r="J27" s="51" t="s">
        <v>140</v>
      </c>
      <c r="K27" s="35" t="s">
        <v>141</v>
      </c>
      <c r="L27" s="35">
        <v>2</v>
      </c>
      <c r="M27" s="35">
        <f t="shared" si="1"/>
        <v>10000</v>
      </c>
      <c r="N27" s="37">
        <v>10002</v>
      </c>
      <c r="O27" s="55" t="s">
        <v>34</v>
      </c>
      <c r="P27" s="56">
        <v>0.28799999999999998</v>
      </c>
      <c r="Q27" s="56">
        <f t="shared" si="9"/>
        <v>2880.576</v>
      </c>
      <c r="R27" s="35"/>
      <c r="S27" s="59"/>
    </row>
    <row r="28" spans="1:19" s="1" customFormat="1" ht="48">
      <c r="A28" s="32"/>
      <c r="B28" s="36">
        <f t="shared" si="0"/>
        <v>19</v>
      </c>
      <c r="C28" s="38" t="s">
        <v>142</v>
      </c>
      <c r="D28" s="37" t="s">
        <v>143</v>
      </c>
      <c r="E28" s="37" t="s">
        <v>144</v>
      </c>
      <c r="F28" s="37" t="s">
        <v>145</v>
      </c>
      <c r="G28" s="37" t="s">
        <v>146</v>
      </c>
      <c r="H28" s="37" t="s">
        <v>147</v>
      </c>
      <c r="I28" s="35" t="s">
        <v>31</v>
      </c>
      <c r="J28" s="54" t="s">
        <v>148</v>
      </c>
      <c r="K28" s="37" t="s">
        <v>31</v>
      </c>
      <c r="L28" s="37">
        <v>1</v>
      </c>
      <c r="M28" s="35">
        <f t="shared" si="1"/>
        <v>5000</v>
      </c>
      <c r="N28" s="37">
        <v>5020</v>
      </c>
      <c r="O28" s="55" t="s">
        <v>34</v>
      </c>
      <c r="P28" s="56">
        <v>1.3100000000000001E-2</v>
      </c>
      <c r="Q28" s="53">
        <f t="shared" ref="Q28:Q30" si="10">P28*N28</f>
        <v>65.762</v>
      </c>
      <c r="R28" s="37"/>
      <c r="S28" s="59"/>
    </row>
    <row r="29" spans="1:19" s="1" customFormat="1" ht="24">
      <c r="A29" s="32"/>
      <c r="B29" s="33">
        <f t="shared" si="0"/>
        <v>20</v>
      </c>
      <c r="C29" s="34" t="s">
        <v>149</v>
      </c>
      <c r="D29" s="35" t="s">
        <v>150</v>
      </c>
      <c r="E29" s="35" t="s">
        <v>151</v>
      </c>
      <c r="F29" s="35" t="s">
        <v>312</v>
      </c>
      <c r="G29" s="35" t="s">
        <v>152</v>
      </c>
      <c r="H29" s="35" t="s">
        <v>153</v>
      </c>
      <c r="I29" s="35" t="s">
        <v>31</v>
      </c>
      <c r="J29" s="51" t="s">
        <v>154</v>
      </c>
      <c r="K29" s="37" t="s">
        <v>31</v>
      </c>
      <c r="L29" s="35">
        <v>3</v>
      </c>
      <c r="M29" s="35">
        <f t="shared" si="1"/>
        <v>15000</v>
      </c>
      <c r="N29" s="35">
        <v>15010</v>
      </c>
      <c r="O29" s="52" t="s">
        <v>34</v>
      </c>
      <c r="P29" s="53">
        <v>3.49E-2</v>
      </c>
      <c r="Q29" s="56">
        <f t="shared" si="10"/>
        <v>523.84900000000005</v>
      </c>
      <c r="R29" s="35"/>
      <c r="S29" s="59"/>
    </row>
    <row r="30" spans="1:19" s="1" customFormat="1" ht="36">
      <c r="A30" s="32"/>
      <c r="B30" s="33">
        <f t="shared" si="0"/>
        <v>21</v>
      </c>
      <c r="C30" s="34" t="s">
        <v>155</v>
      </c>
      <c r="D30" s="35" t="s">
        <v>156</v>
      </c>
      <c r="E30" s="35" t="s">
        <v>157</v>
      </c>
      <c r="F30" s="35" t="s">
        <v>158</v>
      </c>
      <c r="G30" s="35" t="s">
        <v>159</v>
      </c>
      <c r="H30" s="35" t="s">
        <v>160</v>
      </c>
      <c r="I30" s="35" t="s">
        <v>31</v>
      </c>
      <c r="J30" s="51" t="s">
        <v>161</v>
      </c>
      <c r="K30" s="37" t="s">
        <v>31</v>
      </c>
      <c r="L30" s="35">
        <v>1</v>
      </c>
      <c r="M30" s="35">
        <f t="shared" si="1"/>
        <v>5000</v>
      </c>
      <c r="N30" s="35">
        <v>5020</v>
      </c>
      <c r="O30" s="52" t="s">
        <v>34</v>
      </c>
      <c r="P30" s="53">
        <v>1.9599999999999999E-2</v>
      </c>
      <c r="Q30" s="56">
        <f t="shared" si="10"/>
        <v>98.391999999999996</v>
      </c>
      <c r="R30" s="35"/>
      <c r="S30" s="59"/>
    </row>
    <row r="31" spans="1:19" s="1" customFormat="1" ht="48">
      <c r="A31" s="32"/>
      <c r="B31" s="36">
        <f t="shared" si="0"/>
        <v>22</v>
      </c>
      <c r="C31" s="38" t="s">
        <v>155</v>
      </c>
      <c r="D31" s="37" t="s">
        <v>162</v>
      </c>
      <c r="E31" s="37" t="s">
        <v>163</v>
      </c>
      <c r="F31" s="37" t="s">
        <v>164</v>
      </c>
      <c r="G31" s="37" t="s">
        <v>165</v>
      </c>
      <c r="H31" s="37" t="s">
        <v>166</v>
      </c>
      <c r="I31" s="35" t="s">
        <v>31</v>
      </c>
      <c r="J31" s="54" t="s">
        <v>167</v>
      </c>
      <c r="K31" s="37" t="s">
        <v>31</v>
      </c>
      <c r="L31" s="37">
        <v>2</v>
      </c>
      <c r="M31" s="35">
        <f t="shared" si="1"/>
        <v>10000</v>
      </c>
      <c r="N31" s="54">
        <v>10020</v>
      </c>
      <c r="O31" s="55" t="s">
        <v>34</v>
      </c>
      <c r="P31" s="56">
        <v>1.5599999999999999E-2</v>
      </c>
      <c r="Q31" s="53">
        <f t="shared" ref="Q31:Q32" si="11">P31*N31</f>
        <v>156.31200000000001</v>
      </c>
      <c r="R31" s="37"/>
      <c r="S31" s="59"/>
    </row>
    <row r="32" spans="1:19" s="1" customFormat="1">
      <c r="A32" s="32"/>
      <c r="B32" s="33">
        <f t="shared" si="0"/>
        <v>23</v>
      </c>
      <c r="C32" s="34" t="s">
        <v>155</v>
      </c>
      <c r="D32" s="35" t="s">
        <v>168</v>
      </c>
      <c r="E32" s="35" t="s">
        <v>169</v>
      </c>
      <c r="F32" s="35" t="s">
        <v>170</v>
      </c>
      <c r="G32" s="35" t="s">
        <v>171</v>
      </c>
      <c r="H32" s="35" t="s">
        <v>166</v>
      </c>
      <c r="I32" s="35" t="s">
        <v>31</v>
      </c>
      <c r="J32" s="51" t="s">
        <v>172</v>
      </c>
      <c r="K32" s="35" t="s">
        <v>31</v>
      </c>
      <c r="L32" s="35">
        <v>1</v>
      </c>
      <c r="M32" s="35">
        <f t="shared" si="1"/>
        <v>5000</v>
      </c>
      <c r="N32" s="35">
        <v>5020</v>
      </c>
      <c r="O32" s="55" t="s">
        <v>34</v>
      </c>
      <c r="P32" s="56">
        <v>1.89E-2</v>
      </c>
      <c r="Q32" s="56">
        <f t="shared" si="11"/>
        <v>94.878</v>
      </c>
      <c r="R32" s="35"/>
      <c r="S32" s="59"/>
    </row>
    <row r="33" spans="1:19" s="1" customFormat="1">
      <c r="A33" s="32"/>
      <c r="B33" s="36">
        <f t="shared" si="0"/>
        <v>24</v>
      </c>
      <c r="C33" s="38" t="s">
        <v>173</v>
      </c>
      <c r="D33" s="37" t="s">
        <v>174</v>
      </c>
      <c r="E33" s="37" t="s">
        <v>175</v>
      </c>
      <c r="F33" s="37" t="s">
        <v>176</v>
      </c>
      <c r="G33" s="37" t="s">
        <v>177</v>
      </c>
      <c r="H33" s="37" t="s">
        <v>30</v>
      </c>
      <c r="I33" s="35" t="s">
        <v>31</v>
      </c>
      <c r="J33" s="54" t="s">
        <v>178</v>
      </c>
      <c r="K33" s="37" t="s">
        <v>179</v>
      </c>
      <c r="L33" s="37">
        <v>2</v>
      </c>
      <c r="M33" s="35">
        <f t="shared" si="1"/>
        <v>10000</v>
      </c>
      <c r="N33" s="35">
        <v>10100</v>
      </c>
      <c r="O33" s="55" t="s">
        <v>34</v>
      </c>
      <c r="P33" s="56">
        <v>8.0000000000000004E-4</v>
      </c>
      <c r="Q33" s="53">
        <f t="shared" ref="Q33:Q34" si="12">P33*N33</f>
        <v>8.08</v>
      </c>
      <c r="R33" s="37"/>
      <c r="S33" s="59"/>
    </row>
    <row r="34" spans="1:19" s="1" customFormat="1">
      <c r="A34" s="32"/>
      <c r="B34" s="33">
        <f t="shared" si="0"/>
        <v>25</v>
      </c>
      <c r="C34" s="34" t="s">
        <v>173</v>
      </c>
      <c r="D34" s="35" t="s">
        <v>180</v>
      </c>
      <c r="E34" s="35" t="s">
        <v>181</v>
      </c>
      <c r="F34" s="35" t="s">
        <v>176</v>
      </c>
      <c r="G34" s="35" t="s">
        <v>182</v>
      </c>
      <c r="H34" s="35" t="s">
        <v>30</v>
      </c>
      <c r="I34" s="35" t="s">
        <v>31</v>
      </c>
      <c r="J34" s="51" t="s">
        <v>183</v>
      </c>
      <c r="K34" s="35" t="s">
        <v>184</v>
      </c>
      <c r="L34" s="35">
        <v>1</v>
      </c>
      <c r="M34" s="35">
        <f t="shared" si="1"/>
        <v>5000</v>
      </c>
      <c r="N34" s="35">
        <v>5100</v>
      </c>
      <c r="O34" s="52" t="s">
        <v>34</v>
      </c>
      <c r="P34" s="53">
        <v>6.9999999999999999E-4</v>
      </c>
      <c r="Q34" s="56">
        <f t="shared" si="12"/>
        <v>3.57</v>
      </c>
      <c r="R34" s="35"/>
      <c r="S34" s="59"/>
    </row>
    <row r="35" spans="1:19" s="1" customFormat="1" ht="36">
      <c r="A35" s="32"/>
      <c r="B35" s="36">
        <f t="shared" si="0"/>
        <v>26</v>
      </c>
      <c r="C35" s="38" t="s">
        <v>173</v>
      </c>
      <c r="D35" s="37" t="s">
        <v>185</v>
      </c>
      <c r="E35" s="37" t="s">
        <v>186</v>
      </c>
      <c r="F35" s="37" t="s">
        <v>176</v>
      </c>
      <c r="G35" s="37" t="s">
        <v>187</v>
      </c>
      <c r="H35" s="37" t="s">
        <v>188</v>
      </c>
      <c r="I35" s="35" t="s">
        <v>31</v>
      </c>
      <c r="J35" s="54" t="s">
        <v>189</v>
      </c>
      <c r="K35" s="37" t="s">
        <v>190</v>
      </c>
      <c r="L35" s="37">
        <v>1</v>
      </c>
      <c r="M35" s="35">
        <f t="shared" si="1"/>
        <v>5000</v>
      </c>
      <c r="N35" s="35">
        <v>5100</v>
      </c>
      <c r="O35" s="55" t="s">
        <v>34</v>
      </c>
      <c r="P35" s="56">
        <v>8.0000000000000004E-4</v>
      </c>
      <c r="Q35" s="53">
        <f t="shared" ref="Q35:Q36" si="13">P35*N35</f>
        <v>4.08</v>
      </c>
      <c r="R35" s="37"/>
      <c r="S35" s="59"/>
    </row>
    <row r="36" spans="1:19" s="1" customFormat="1">
      <c r="A36" s="32"/>
      <c r="B36" s="33">
        <f t="shared" si="0"/>
        <v>27</v>
      </c>
      <c r="C36" s="34" t="s">
        <v>173</v>
      </c>
      <c r="D36" s="35" t="s">
        <v>191</v>
      </c>
      <c r="E36" s="35" t="s">
        <v>192</v>
      </c>
      <c r="F36" s="35" t="s">
        <v>176</v>
      </c>
      <c r="G36" s="35" t="s">
        <v>193</v>
      </c>
      <c r="H36" s="35" t="s">
        <v>30</v>
      </c>
      <c r="I36" s="35" t="s">
        <v>31</v>
      </c>
      <c r="J36" s="51" t="s">
        <v>194</v>
      </c>
      <c r="K36" s="35" t="s">
        <v>195</v>
      </c>
      <c r="L36" s="35">
        <v>6</v>
      </c>
      <c r="M36" s="35">
        <f t="shared" si="1"/>
        <v>30000</v>
      </c>
      <c r="N36" s="35">
        <v>30100</v>
      </c>
      <c r="O36" s="55" t="s">
        <v>34</v>
      </c>
      <c r="P36" s="56">
        <v>5.9999999999999995E-4</v>
      </c>
      <c r="Q36" s="56">
        <f t="shared" si="13"/>
        <v>18.059999999999999</v>
      </c>
      <c r="R36" s="35"/>
      <c r="S36" s="59"/>
    </row>
    <row r="37" spans="1:19" s="1" customFormat="1" ht="24">
      <c r="A37" s="32"/>
      <c r="B37" s="36">
        <f t="shared" si="0"/>
        <v>28</v>
      </c>
      <c r="C37" s="38" t="s">
        <v>173</v>
      </c>
      <c r="D37" s="37" t="s">
        <v>196</v>
      </c>
      <c r="E37" s="37" t="s">
        <v>197</v>
      </c>
      <c r="F37" s="37" t="s">
        <v>198</v>
      </c>
      <c r="G37" s="37" t="s">
        <v>199</v>
      </c>
      <c r="H37" s="37" t="s">
        <v>200</v>
      </c>
      <c r="I37" s="35" t="s">
        <v>31</v>
      </c>
      <c r="J37" s="54" t="s">
        <v>201</v>
      </c>
      <c r="K37" s="37" t="s">
        <v>202</v>
      </c>
      <c r="L37" s="37">
        <v>1</v>
      </c>
      <c r="M37" s="35">
        <f t="shared" si="1"/>
        <v>5000</v>
      </c>
      <c r="N37" s="37">
        <v>5100</v>
      </c>
      <c r="O37" s="55" t="s">
        <v>34</v>
      </c>
      <c r="P37" s="56">
        <v>2.9999999999999997E-4</v>
      </c>
      <c r="Q37" s="53">
        <f t="shared" ref="Q37:Q38" si="14">P37*N37</f>
        <v>1.53</v>
      </c>
      <c r="R37" s="37"/>
      <c r="S37" s="59"/>
    </row>
    <row r="38" spans="1:19" s="1" customFormat="1" ht="24">
      <c r="A38" s="32"/>
      <c r="B38" s="33">
        <f t="shared" si="0"/>
        <v>29</v>
      </c>
      <c r="C38" s="34" t="s">
        <v>173</v>
      </c>
      <c r="D38" s="35" t="s">
        <v>203</v>
      </c>
      <c r="E38" s="35" t="s">
        <v>204</v>
      </c>
      <c r="F38" s="35" t="s">
        <v>176</v>
      </c>
      <c r="G38" s="35" t="s">
        <v>205</v>
      </c>
      <c r="H38" s="35" t="s">
        <v>30</v>
      </c>
      <c r="I38" s="35" t="s">
        <v>31</v>
      </c>
      <c r="J38" s="51" t="s">
        <v>206</v>
      </c>
      <c r="K38" s="35" t="s">
        <v>207</v>
      </c>
      <c r="L38" s="35">
        <v>3</v>
      </c>
      <c r="M38" s="35">
        <f t="shared" si="1"/>
        <v>15000</v>
      </c>
      <c r="N38" s="35">
        <v>15020</v>
      </c>
      <c r="O38" s="52" t="s">
        <v>34</v>
      </c>
      <c r="P38" s="53">
        <v>1.17E-2</v>
      </c>
      <c r="Q38" s="56">
        <f t="shared" si="14"/>
        <v>175.73400000000001</v>
      </c>
      <c r="R38" s="35"/>
      <c r="S38" s="59"/>
    </row>
    <row r="39" spans="1:19" s="1" customFormat="1">
      <c r="A39" s="32"/>
      <c r="B39" s="36">
        <f t="shared" si="0"/>
        <v>30</v>
      </c>
      <c r="C39" s="34" t="s">
        <v>173</v>
      </c>
      <c r="D39" s="37" t="s">
        <v>208</v>
      </c>
      <c r="E39" s="37" t="s">
        <v>209</v>
      </c>
      <c r="F39" s="37" t="s">
        <v>176</v>
      </c>
      <c r="G39" s="37" t="s">
        <v>210</v>
      </c>
      <c r="H39" s="37" t="s">
        <v>30</v>
      </c>
      <c r="I39" s="35" t="s">
        <v>31</v>
      </c>
      <c r="J39" s="54" t="s">
        <v>211</v>
      </c>
      <c r="K39" s="37" t="s">
        <v>212</v>
      </c>
      <c r="L39" s="37">
        <v>3</v>
      </c>
      <c r="M39" s="35">
        <f t="shared" si="1"/>
        <v>15000</v>
      </c>
      <c r="N39" s="54">
        <v>15100</v>
      </c>
      <c r="O39" s="55" t="s">
        <v>34</v>
      </c>
      <c r="P39" s="56">
        <v>6.9999999999999999E-4</v>
      </c>
      <c r="Q39" s="53">
        <f t="shared" ref="Q39:Q40" si="15">P39*N39</f>
        <v>10.57</v>
      </c>
      <c r="R39" s="37"/>
      <c r="S39" s="59"/>
    </row>
    <row r="40" spans="1:19" s="1" customFormat="1">
      <c r="A40" s="32"/>
      <c r="B40" s="33">
        <f t="shared" si="0"/>
        <v>31</v>
      </c>
      <c r="C40" s="34" t="s">
        <v>173</v>
      </c>
      <c r="D40" s="35" t="s">
        <v>213</v>
      </c>
      <c r="E40" s="35" t="s">
        <v>214</v>
      </c>
      <c r="F40" s="35" t="s">
        <v>176</v>
      </c>
      <c r="G40" s="35" t="s">
        <v>215</v>
      </c>
      <c r="H40" s="35" t="s">
        <v>30</v>
      </c>
      <c r="I40" s="35" t="s">
        <v>31</v>
      </c>
      <c r="J40" s="51" t="s">
        <v>216</v>
      </c>
      <c r="K40" s="35" t="s">
        <v>217</v>
      </c>
      <c r="L40" s="35">
        <v>3</v>
      </c>
      <c r="M40" s="35">
        <f t="shared" si="1"/>
        <v>15000</v>
      </c>
      <c r="N40" s="35">
        <v>15100</v>
      </c>
      <c r="O40" s="55" t="s">
        <v>34</v>
      </c>
      <c r="P40" s="56">
        <v>6.9999999999999999E-4</v>
      </c>
      <c r="Q40" s="56">
        <f t="shared" si="15"/>
        <v>10.57</v>
      </c>
      <c r="R40" s="35"/>
      <c r="S40" s="59"/>
    </row>
    <row r="41" spans="1:19" s="1" customFormat="1">
      <c r="A41" s="32"/>
      <c r="B41" s="36">
        <f t="shared" si="0"/>
        <v>32</v>
      </c>
      <c r="C41" s="34" t="s">
        <v>173</v>
      </c>
      <c r="D41" s="37" t="s">
        <v>313</v>
      </c>
      <c r="E41" s="37" t="s">
        <v>314</v>
      </c>
      <c r="F41" s="37" t="s">
        <v>198</v>
      </c>
      <c r="G41" s="40" t="s">
        <v>315</v>
      </c>
      <c r="H41" s="35" t="s">
        <v>316</v>
      </c>
      <c r="I41" s="35" t="s">
        <v>317</v>
      </c>
      <c r="J41" s="54" t="s">
        <v>318</v>
      </c>
      <c r="K41" s="37" t="s">
        <v>319</v>
      </c>
      <c r="L41" s="37">
        <v>4</v>
      </c>
      <c r="M41" s="35">
        <f t="shared" si="1"/>
        <v>20000</v>
      </c>
      <c r="N41" s="35">
        <v>20020</v>
      </c>
      <c r="O41" s="55" t="s">
        <v>34</v>
      </c>
      <c r="P41" s="56">
        <v>1.35E-2</v>
      </c>
      <c r="Q41" s="53">
        <f t="shared" ref="Q41:Q42" si="16">P41*N41</f>
        <v>270.27</v>
      </c>
      <c r="R41" s="37"/>
      <c r="S41" s="59"/>
    </row>
    <row r="42" spans="1:19" s="1" customFormat="1">
      <c r="A42" s="32"/>
      <c r="B42" s="33">
        <f t="shared" si="0"/>
        <v>33</v>
      </c>
      <c r="C42" s="34" t="s">
        <v>173</v>
      </c>
      <c r="D42" s="35" t="s">
        <v>218</v>
      </c>
      <c r="E42" s="35" t="s">
        <v>219</v>
      </c>
      <c r="F42" s="35" t="s">
        <v>198</v>
      </c>
      <c r="G42" s="35" t="s">
        <v>220</v>
      </c>
      <c r="H42" s="35" t="s">
        <v>30</v>
      </c>
      <c r="I42" s="35" t="s">
        <v>31</v>
      </c>
      <c r="J42" s="51" t="s">
        <v>221</v>
      </c>
      <c r="K42" s="35" t="s">
        <v>195</v>
      </c>
      <c r="L42" s="35">
        <v>2</v>
      </c>
      <c r="M42" s="35">
        <f t="shared" si="1"/>
        <v>10000</v>
      </c>
      <c r="N42" s="35">
        <v>10100</v>
      </c>
      <c r="O42" s="55" t="s">
        <v>34</v>
      </c>
      <c r="P42" s="56">
        <v>2.9999999999999997E-4</v>
      </c>
      <c r="Q42" s="56">
        <f t="shared" si="16"/>
        <v>3.03</v>
      </c>
      <c r="R42" s="35"/>
      <c r="S42" s="59"/>
    </row>
    <row r="43" spans="1:19" s="1" customFormat="1">
      <c r="A43" s="32"/>
      <c r="B43" s="36">
        <f t="shared" si="0"/>
        <v>34</v>
      </c>
      <c r="C43" s="38" t="s">
        <v>173</v>
      </c>
      <c r="D43" s="37" t="s">
        <v>222</v>
      </c>
      <c r="E43" s="37" t="s">
        <v>223</v>
      </c>
      <c r="F43" s="37" t="s">
        <v>176</v>
      </c>
      <c r="G43" s="37" t="s">
        <v>224</v>
      </c>
      <c r="H43" s="37" t="s">
        <v>30</v>
      </c>
      <c r="I43" s="35" t="s">
        <v>31</v>
      </c>
      <c r="J43" s="37" t="s">
        <v>225</v>
      </c>
      <c r="K43" s="37" t="s">
        <v>226</v>
      </c>
      <c r="L43" s="37">
        <v>2</v>
      </c>
      <c r="M43" s="35">
        <f t="shared" si="1"/>
        <v>10000</v>
      </c>
      <c r="N43" s="35">
        <v>10100</v>
      </c>
      <c r="O43" s="52" t="s">
        <v>34</v>
      </c>
      <c r="P43" s="53">
        <v>5.9999999999999995E-4</v>
      </c>
      <c r="Q43" s="53">
        <f t="shared" ref="Q43:Q44" si="17">P43*N43</f>
        <v>6.06</v>
      </c>
      <c r="R43" s="37"/>
      <c r="S43" s="59"/>
    </row>
    <row r="44" spans="1:19" s="1" customFormat="1">
      <c r="A44" s="32"/>
      <c r="B44" s="33">
        <f t="shared" si="0"/>
        <v>35</v>
      </c>
      <c r="C44" s="34" t="s">
        <v>173</v>
      </c>
      <c r="D44" s="35" t="s">
        <v>227</v>
      </c>
      <c r="E44" s="35" t="s">
        <v>228</v>
      </c>
      <c r="F44" s="35" t="s">
        <v>176</v>
      </c>
      <c r="G44" s="40" t="s">
        <v>229</v>
      </c>
      <c r="H44" s="35" t="s">
        <v>30</v>
      </c>
      <c r="I44" s="35" t="s">
        <v>230</v>
      </c>
      <c r="J44" s="35" t="s">
        <v>231</v>
      </c>
      <c r="K44" s="35" t="s">
        <v>232</v>
      </c>
      <c r="L44" s="35">
        <v>4</v>
      </c>
      <c r="M44" s="35">
        <f t="shared" si="1"/>
        <v>20000</v>
      </c>
      <c r="N44" s="35">
        <v>20100</v>
      </c>
      <c r="O44" s="55" t="s">
        <v>34</v>
      </c>
      <c r="P44" s="56">
        <v>5.9999999999999995E-4</v>
      </c>
      <c r="Q44" s="56">
        <f t="shared" si="17"/>
        <v>12.06</v>
      </c>
      <c r="R44" s="35"/>
      <c r="S44" s="59"/>
    </row>
    <row r="45" spans="1:19" s="1" customFormat="1">
      <c r="A45" s="32"/>
      <c r="B45" s="36">
        <f t="shared" si="0"/>
        <v>36</v>
      </c>
      <c r="C45" s="34" t="s">
        <v>173</v>
      </c>
      <c r="D45" s="35" t="s">
        <v>233</v>
      </c>
      <c r="E45" s="37" t="s">
        <v>234</v>
      </c>
      <c r="F45" s="37" t="s">
        <v>176</v>
      </c>
      <c r="G45" s="37" t="s">
        <v>235</v>
      </c>
      <c r="H45" s="37" t="s">
        <v>30</v>
      </c>
      <c r="I45" s="37"/>
      <c r="J45" s="37" t="s">
        <v>236</v>
      </c>
      <c r="K45" s="37" t="s">
        <v>237</v>
      </c>
      <c r="L45" s="37">
        <v>2</v>
      </c>
      <c r="M45" s="35">
        <f t="shared" si="1"/>
        <v>10000</v>
      </c>
      <c r="N45" s="37">
        <v>10100</v>
      </c>
      <c r="O45" s="55" t="s">
        <v>34</v>
      </c>
      <c r="P45" s="56">
        <v>8.9999999999999998E-4</v>
      </c>
      <c r="Q45" s="53">
        <f t="shared" ref="Q45:Q46" si="18">P45*N45</f>
        <v>9.09</v>
      </c>
      <c r="R45" s="37"/>
      <c r="S45" s="59"/>
    </row>
    <row r="46" spans="1:19" s="1" customFormat="1" ht="48">
      <c r="A46" s="32"/>
      <c r="B46" s="33">
        <f t="shared" si="0"/>
        <v>37</v>
      </c>
      <c r="C46" s="34" t="s">
        <v>238</v>
      </c>
      <c r="D46" s="35" t="s">
        <v>239</v>
      </c>
      <c r="E46" s="35" t="s">
        <v>240</v>
      </c>
      <c r="F46" s="35" t="s">
        <v>312</v>
      </c>
      <c r="G46" s="35" t="s">
        <v>241</v>
      </c>
      <c r="H46" s="35" t="s">
        <v>242</v>
      </c>
      <c r="I46" s="35" t="s">
        <v>31</v>
      </c>
      <c r="J46" s="35" t="s">
        <v>243</v>
      </c>
      <c r="K46" s="35" t="s">
        <v>31</v>
      </c>
      <c r="L46" s="35">
        <v>1</v>
      </c>
      <c r="M46" s="35">
        <f t="shared" si="1"/>
        <v>5000</v>
      </c>
      <c r="N46" s="37">
        <v>5020</v>
      </c>
      <c r="O46" s="55" t="s">
        <v>34</v>
      </c>
      <c r="P46" s="56">
        <v>1.35E-2</v>
      </c>
      <c r="Q46" s="56">
        <f t="shared" si="18"/>
        <v>67.77</v>
      </c>
      <c r="R46" s="35"/>
      <c r="S46" s="59"/>
    </row>
    <row r="47" spans="1:19" s="1" customFormat="1" ht="25.5">
      <c r="A47" s="32"/>
      <c r="B47" s="36">
        <f t="shared" si="0"/>
        <v>38</v>
      </c>
      <c r="C47" s="38" t="s">
        <v>244</v>
      </c>
      <c r="D47" s="37" t="s">
        <v>245</v>
      </c>
      <c r="E47" s="37" t="s">
        <v>320</v>
      </c>
      <c r="F47" s="37" t="s">
        <v>312</v>
      </c>
      <c r="G47" s="37" t="s">
        <v>321</v>
      </c>
      <c r="H47" s="37" t="s">
        <v>322</v>
      </c>
      <c r="I47" s="35" t="s">
        <v>31</v>
      </c>
      <c r="J47" s="37" t="s">
        <v>31</v>
      </c>
      <c r="K47" s="35" t="s">
        <v>31</v>
      </c>
      <c r="L47" s="37">
        <v>4</v>
      </c>
      <c r="M47" s="35">
        <f t="shared" si="1"/>
        <v>20000</v>
      </c>
      <c r="N47" s="35">
        <v>20002</v>
      </c>
      <c r="O47" s="55" t="s">
        <v>323</v>
      </c>
      <c r="P47" s="56">
        <v>1.7688999999999999</v>
      </c>
      <c r="Q47" s="53">
        <f t="shared" ref="Q47:Q48" si="19">P47*N47</f>
        <v>35381.537799999998</v>
      </c>
      <c r="R47" s="37"/>
      <c r="S47" s="59"/>
    </row>
    <row r="48" spans="1:19" s="1" customFormat="1" ht="48">
      <c r="A48" s="32"/>
      <c r="B48" s="33">
        <f t="shared" si="0"/>
        <v>39</v>
      </c>
      <c r="C48" s="34" t="s">
        <v>238</v>
      </c>
      <c r="D48" s="35" t="s">
        <v>249</v>
      </c>
      <c r="E48" s="35" t="s">
        <v>250</v>
      </c>
      <c r="F48" s="35" t="s">
        <v>251</v>
      </c>
      <c r="G48" s="35" t="s">
        <v>252</v>
      </c>
      <c r="H48" s="35" t="s">
        <v>242</v>
      </c>
      <c r="I48" s="35" t="s">
        <v>31</v>
      </c>
      <c r="J48" s="35" t="s">
        <v>253</v>
      </c>
      <c r="K48" s="35" t="s">
        <v>31</v>
      </c>
      <c r="L48" s="35">
        <v>1</v>
      </c>
      <c r="M48" s="35">
        <f t="shared" si="1"/>
        <v>5000</v>
      </c>
      <c r="N48" s="35">
        <v>5010</v>
      </c>
      <c r="O48" s="55" t="s">
        <v>34</v>
      </c>
      <c r="P48" s="56">
        <v>2.3199999999999998E-2</v>
      </c>
      <c r="Q48" s="56">
        <f t="shared" si="19"/>
        <v>116.232</v>
      </c>
      <c r="R48" s="35"/>
      <c r="S48" s="59"/>
    </row>
    <row r="49" spans="1:19" s="1" customFormat="1" ht="24">
      <c r="A49" s="32"/>
      <c r="B49" s="36">
        <f t="shared" si="0"/>
        <v>40</v>
      </c>
      <c r="C49" s="38" t="s">
        <v>155</v>
      </c>
      <c r="D49" s="37" t="s">
        <v>254</v>
      </c>
      <c r="E49" s="37" t="s">
        <v>255</v>
      </c>
      <c r="F49" s="37" t="s">
        <v>256</v>
      </c>
      <c r="G49" s="37" t="s">
        <v>257</v>
      </c>
      <c r="H49" s="37" t="s">
        <v>258</v>
      </c>
      <c r="I49" s="35" t="s">
        <v>31</v>
      </c>
      <c r="J49" s="37" t="s">
        <v>259</v>
      </c>
      <c r="K49" s="35" t="s">
        <v>31</v>
      </c>
      <c r="L49" s="37">
        <v>1</v>
      </c>
      <c r="M49" s="35">
        <f t="shared" si="1"/>
        <v>5000</v>
      </c>
      <c r="N49" s="37">
        <v>5005</v>
      </c>
      <c r="O49" s="52" t="s">
        <v>34</v>
      </c>
      <c r="P49" s="53">
        <v>8.9200000000000002E-2</v>
      </c>
      <c r="Q49" s="53">
        <f t="shared" ref="Q49:Q50" si="20">P49*N49</f>
        <v>446.44600000000003</v>
      </c>
      <c r="R49" s="37"/>
      <c r="S49" s="59"/>
    </row>
    <row r="50" spans="1:19" s="1" customFormat="1" ht="24">
      <c r="A50" s="32"/>
      <c r="B50" s="33">
        <f t="shared" si="0"/>
        <v>41</v>
      </c>
      <c r="C50" s="34" t="s">
        <v>260</v>
      </c>
      <c r="D50" s="35" t="s">
        <v>261</v>
      </c>
      <c r="E50" s="35" t="s">
        <v>262</v>
      </c>
      <c r="F50" s="35" t="s">
        <v>263</v>
      </c>
      <c r="G50" s="35" t="s">
        <v>264</v>
      </c>
      <c r="H50" s="35" t="s">
        <v>265</v>
      </c>
      <c r="I50" s="35" t="s">
        <v>31</v>
      </c>
      <c r="J50" s="35" t="s">
        <v>266</v>
      </c>
      <c r="K50" s="35" t="s">
        <v>31</v>
      </c>
      <c r="L50" s="35">
        <v>1</v>
      </c>
      <c r="M50" s="35">
        <f t="shared" si="1"/>
        <v>5000</v>
      </c>
      <c r="N50" s="35">
        <v>5001</v>
      </c>
      <c r="O50" s="55" t="s">
        <v>34</v>
      </c>
      <c r="P50" s="56">
        <v>0.2132</v>
      </c>
      <c r="Q50" s="56">
        <f t="shared" si="20"/>
        <v>1066.2131999999999</v>
      </c>
      <c r="R50" s="35"/>
      <c r="S50" s="59"/>
    </row>
    <row r="51" spans="1:19" s="1" customFormat="1" ht="36">
      <c r="A51" s="32"/>
      <c r="B51" s="36">
        <f t="shared" si="0"/>
        <v>42</v>
      </c>
      <c r="C51" s="38" t="s">
        <v>260</v>
      </c>
      <c r="D51" s="37" t="s">
        <v>267</v>
      </c>
      <c r="E51" s="37" t="s">
        <v>268</v>
      </c>
      <c r="F51" s="37" t="s">
        <v>269</v>
      </c>
      <c r="G51" s="37" t="s">
        <v>270</v>
      </c>
      <c r="H51" s="37" t="s">
        <v>265</v>
      </c>
      <c r="I51" s="35" t="s">
        <v>31</v>
      </c>
      <c r="J51" s="37" t="s">
        <v>271</v>
      </c>
      <c r="K51" s="35" t="s">
        <v>31</v>
      </c>
      <c r="L51" s="37">
        <v>1</v>
      </c>
      <c r="M51" s="35">
        <f t="shared" si="1"/>
        <v>5000</v>
      </c>
      <c r="N51" s="37">
        <v>5001</v>
      </c>
      <c r="O51" s="52" t="s">
        <v>34</v>
      </c>
      <c r="P51" s="53">
        <v>0.31979999999999997</v>
      </c>
      <c r="Q51" s="53">
        <f t="shared" ref="Q51:Q52" si="21">P51*N51</f>
        <v>1599.3198</v>
      </c>
      <c r="R51" s="37"/>
      <c r="S51" s="59"/>
    </row>
    <row r="52" spans="1:19" s="1" customFormat="1" ht="24">
      <c r="A52" s="32"/>
      <c r="B52" s="33">
        <f t="shared" si="0"/>
        <v>43</v>
      </c>
      <c r="C52" s="34" t="s">
        <v>272</v>
      </c>
      <c r="D52" s="35" t="s">
        <v>273</v>
      </c>
      <c r="E52" s="35" t="s">
        <v>274</v>
      </c>
      <c r="F52" s="35" t="s">
        <v>275</v>
      </c>
      <c r="G52" s="35" t="s">
        <v>276</v>
      </c>
      <c r="H52" s="35" t="s">
        <v>277</v>
      </c>
      <c r="I52" s="35" t="s">
        <v>31</v>
      </c>
      <c r="J52" s="35" t="s">
        <v>278</v>
      </c>
      <c r="K52" s="35" t="s">
        <v>31</v>
      </c>
      <c r="L52" s="35">
        <v>1</v>
      </c>
      <c r="M52" s="35">
        <f t="shared" si="1"/>
        <v>5000</v>
      </c>
      <c r="N52" s="35">
        <v>5001</v>
      </c>
      <c r="O52" s="55" t="s">
        <v>34</v>
      </c>
      <c r="P52" s="56">
        <v>3.3075000000000001</v>
      </c>
      <c r="Q52" s="56">
        <f t="shared" si="21"/>
        <v>16540.807499999999</v>
      </c>
      <c r="R52" s="35"/>
      <c r="S52" s="59"/>
    </row>
    <row r="53" spans="1:19" s="1" customFormat="1" ht="36">
      <c r="A53" s="32"/>
      <c r="B53" s="36">
        <f t="shared" si="0"/>
        <v>44</v>
      </c>
      <c r="C53" s="38" t="s">
        <v>260</v>
      </c>
      <c r="D53" s="37" t="s">
        <v>279</v>
      </c>
      <c r="E53" s="37" t="s">
        <v>280</v>
      </c>
      <c r="F53" s="37" t="s">
        <v>281</v>
      </c>
      <c r="G53" s="37" t="s">
        <v>282</v>
      </c>
      <c r="H53" s="37" t="s">
        <v>283</v>
      </c>
      <c r="I53" s="35" t="s">
        <v>31</v>
      </c>
      <c r="J53" s="37" t="s">
        <v>284</v>
      </c>
      <c r="K53" s="35" t="s">
        <v>31</v>
      </c>
      <c r="L53" s="37">
        <v>1</v>
      </c>
      <c r="M53" s="35">
        <f t="shared" si="1"/>
        <v>5000</v>
      </c>
      <c r="N53" s="37">
        <v>5002</v>
      </c>
      <c r="O53" s="52" t="s">
        <v>34</v>
      </c>
      <c r="P53" s="53">
        <v>7.0099999999999996E-2</v>
      </c>
      <c r="Q53" s="53">
        <f t="shared" ref="Q53:Q54" si="22">P53*N53</f>
        <v>350.64019999999999</v>
      </c>
      <c r="R53" s="37"/>
      <c r="S53" s="59"/>
    </row>
    <row r="54" spans="1:19" s="1" customFormat="1" ht="24">
      <c r="A54" s="32"/>
      <c r="B54" s="33">
        <f t="shared" si="0"/>
        <v>45</v>
      </c>
      <c r="C54" s="34" t="s">
        <v>260</v>
      </c>
      <c r="D54" s="35" t="s">
        <v>285</v>
      </c>
      <c r="E54" s="35" t="s">
        <v>286</v>
      </c>
      <c r="F54" s="35" t="s">
        <v>287</v>
      </c>
      <c r="G54" s="35" t="s">
        <v>288</v>
      </c>
      <c r="H54" s="35" t="s">
        <v>289</v>
      </c>
      <c r="I54" s="35" t="s">
        <v>31</v>
      </c>
      <c r="J54" s="35" t="s">
        <v>290</v>
      </c>
      <c r="K54" s="35" t="s">
        <v>31</v>
      </c>
      <c r="L54" s="35">
        <v>1</v>
      </c>
      <c r="M54" s="35">
        <f t="shared" si="1"/>
        <v>5000</v>
      </c>
      <c r="N54" s="35">
        <v>5001</v>
      </c>
      <c r="O54" s="55" t="s">
        <v>34</v>
      </c>
      <c r="P54" s="56">
        <v>0.71179999999999999</v>
      </c>
      <c r="Q54" s="56">
        <f t="shared" si="22"/>
        <v>3559.7118</v>
      </c>
      <c r="R54" s="35"/>
      <c r="S54" s="59"/>
    </row>
    <row r="55" spans="1:19" s="1" customFormat="1">
      <c r="A55" s="32"/>
      <c r="B55" s="36">
        <f t="shared" si="0"/>
        <v>46</v>
      </c>
      <c r="C55" s="38" t="s">
        <v>260</v>
      </c>
      <c r="D55" s="37" t="s">
        <v>291</v>
      </c>
      <c r="E55" s="37" t="s">
        <v>292</v>
      </c>
      <c r="F55" s="37" t="s">
        <v>293</v>
      </c>
      <c r="G55" s="37" t="s">
        <v>294</v>
      </c>
      <c r="H55" s="37" t="s">
        <v>289</v>
      </c>
      <c r="I55" s="35" t="s">
        <v>31</v>
      </c>
      <c r="J55" s="37" t="s">
        <v>295</v>
      </c>
      <c r="K55" s="35" t="s">
        <v>31</v>
      </c>
      <c r="L55" s="37">
        <v>1</v>
      </c>
      <c r="M55" s="35">
        <f t="shared" si="1"/>
        <v>5000</v>
      </c>
      <c r="N55" s="37">
        <v>5001</v>
      </c>
      <c r="O55" s="52" t="s">
        <v>34</v>
      </c>
      <c r="P55" s="53">
        <v>0.66820000000000002</v>
      </c>
      <c r="Q55" s="53">
        <f t="shared" ref="Q55:Q56" si="23">P55*N55</f>
        <v>3341.6682000000001</v>
      </c>
      <c r="R55" s="37"/>
      <c r="S55" s="60"/>
    </row>
    <row r="56" spans="1:19" s="1" customFormat="1">
      <c r="A56" s="32"/>
      <c r="B56" s="36">
        <f t="shared" si="0"/>
        <v>47</v>
      </c>
      <c r="C56" s="34" t="s">
        <v>296</v>
      </c>
      <c r="D56" s="35" t="s">
        <v>297</v>
      </c>
      <c r="E56" s="35" t="s">
        <v>298</v>
      </c>
      <c r="F56" s="35" t="s">
        <v>31</v>
      </c>
      <c r="G56" s="35" t="s">
        <v>299</v>
      </c>
      <c r="H56" s="35" t="s">
        <v>31</v>
      </c>
      <c r="I56" s="35" t="s">
        <v>31</v>
      </c>
      <c r="J56" s="35" t="s">
        <v>300</v>
      </c>
      <c r="K56" s="35" t="s">
        <v>31</v>
      </c>
      <c r="L56" s="35">
        <v>1</v>
      </c>
      <c r="M56" s="35">
        <f t="shared" si="1"/>
        <v>5000</v>
      </c>
      <c r="N56" s="35">
        <v>5001</v>
      </c>
      <c r="O56" s="55" t="s">
        <v>34</v>
      </c>
      <c r="P56" s="56">
        <v>1.198</v>
      </c>
      <c r="Q56" s="56">
        <f t="shared" si="23"/>
        <v>5991.1980000000003</v>
      </c>
      <c r="R56" s="61"/>
      <c r="S56" s="62"/>
    </row>
    <row r="57" spans="1:19" s="1" customFormat="1" ht="60">
      <c r="A57" s="32"/>
      <c r="B57" s="36">
        <f t="shared" si="0"/>
        <v>48</v>
      </c>
      <c r="C57" s="34" t="s">
        <v>301</v>
      </c>
      <c r="D57" s="35" t="s">
        <v>297</v>
      </c>
      <c r="E57" s="35" t="s">
        <v>302</v>
      </c>
      <c r="F57" s="37" t="s">
        <v>31</v>
      </c>
      <c r="G57" s="37" t="s">
        <v>31</v>
      </c>
      <c r="H57" s="37" t="s">
        <v>31</v>
      </c>
      <c r="I57" s="37" t="s">
        <v>31</v>
      </c>
      <c r="J57" s="37" t="s">
        <v>31</v>
      </c>
      <c r="K57" s="37" t="s">
        <v>31</v>
      </c>
      <c r="L57" s="37">
        <v>1</v>
      </c>
      <c r="M57" s="35">
        <f t="shared" si="1"/>
        <v>5000</v>
      </c>
      <c r="N57" s="37">
        <v>5000</v>
      </c>
      <c r="O57" s="55" t="s">
        <v>303</v>
      </c>
      <c r="P57" s="53">
        <v>3.08</v>
      </c>
      <c r="Q57" s="53">
        <f t="shared" ref="Q57:Q61" si="24">P57*N57</f>
        <v>15400</v>
      </c>
      <c r="R57" s="37"/>
      <c r="S57" s="59"/>
    </row>
    <row r="58" spans="1:19" s="1" customFormat="1" ht="72">
      <c r="A58" s="32"/>
      <c r="B58" s="36">
        <f t="shared" si="0"/>
        <v>49</v>
      </c>
      <c r="C58" s="34" t="s">
        <v>304</v>
      </c>
      <c r="D58" s="35" t="s">
        <v>297</v>
      </c>
      <c r="E58" s="35" t="s">
        <v>305</v>
      </c>
      <c r="F58" s="37" t="s">
        <v>31</v>
      </c>
      <c r="G58" s="37" t="s">
        <v>31</v>
      </c>
      <c r="H58" s="37" t="s">
        <v>31</v>
      </c>
      <c r="I58" s="37" t="s">
        <v>31</v>
      </c>
      <c r="J58" s="37" t="s">
        <v>31</v>
      </c>
      <c r="K58" s="37" t="s">
        <v>31</v>
      </c>
      <c r="L58" s="37">
        <v>1</v>
      </c>
      <c r="M58" s="35">
        <f t="shared" si="1"/>
        <v>5000</v>
      </c>
      <c r="N58" s="37">
        <v>1</v>
      </c>
      <c r="O58" s="55" t="s">
        <v>303</v>
      </c>
      <c r="P58" s="53">
        <v>0.66</v>
      </c>
      <c r="Q58" s="53">
        <f t="shared" si="24"/>
        <v>0.66</v>
      </c>
      <c r="R58" s="37"/>
      <c r="S58" s="59"/>
    </row>
    <row r="59" spans="1:19" s="99" customFormat="1">
      <c r="A59" s="89"/>
      <c r="B59" s="90">
        <f t="shared" si="0"/>
        <v>50</v>
      </c>
      <c r="C59" s="91" t="s">
        <v>332</v>
      </c>
      <c r="D59" s="92" t="s">
        <v>297</v>
      </c>
      <c r="E59" s="93" t="s">
        <v>333</v>
      </c>
      <c r="F59" s="94" t="s">
        <v>31</v>
      </c>
      <c r="G59" s="93" t="s">
        <v>334</v>
      </c>
      <c r="H59" s="94" t="s">
        <v>31</v>
      </c>
      <c r="I59" s="94" t="s">
        <v>31</v>
      </c>
      <c r="J59" s="94" t="s">
        <v>31</v>
      </c>
      <c r="K59" s="94" t="s">
        <v>31</v>
      </c>
      <c r="L59" s="94">
        <v>3</v>
      </c>
      <c r="M59" s="95">
        <f t="shared" si="1"/>
        <v>15000</v>
      </c>
      <c r="N59" s="94">
        <v>15050</v>
      </c>
      <c r="O59" s="96" t="s">
        <v>303</v>
      </c>
      <c r="P59" s="97">
        <v>2.5399999999999999E-2</v>
      </c>
      <c r="Q59" s="97">
        <f t="shared" si="24"/>
        <v>382.27</v>
      </c>
      <c r="R59" s="94"/>
      <c r="S59" s="98"/>
    </row>
    <row r="60" spans="1:19" s="99" customFormat="1">
      <c r="A60" s="89"/>
      <c r="B60" s="90">
        <f t="shared" si="0"/>
        <v>51</v>
      </c>
      <c r="C60" s="100"/>
      <c r="D60" s="101"/>
      <c r="E60" s="93" t="s">
        <v>335</v>
      </c>
      <c r="F60" s="94" t="s">
        <v>31</v>
      </c>
      <c r="G60" s="93" t="s">
        <v>336</v>
      </c>
      <c r="H60" s="94" t="s">
        <v>31</v>
      </c>
      <c r="I60" s="94" t="s">
        <v>31</v>
      </c>
      <c r="J60" s="94" t="s">
        <v>31</v>
      </c>
      <c r="K60" s="94" t="s">
        <v>31</v>
      </c>
      <c r="L60" s="94">
        <v>2</v>
      </c>
      <c r="M60" s="95">
        <f t="shared" si="1"/>
        <v>10000</v>
      </c>
      <c r="N60" s="94">
        <v>10050</v>
      </c>
      <c r="O60" s="96" t="s">
        <v>303</v>
      </c>
      <c r="P60" s="97">
        <v>3.6799999999999999E-2</v>
      </c>
      <c r="Q60" s="97">
        <f t="shared" si="24"/>
        <v>369.84</v>
      </c>
      <c r="R60" s="94"/>
      <c r="S60" s="98"/>
    </row>
    <row r="61" spans="1:19" s="99" customFormat="1" ht="15.75" thickBot="1">
      <c r="A61" s="89"/>
      <c r="B61" s="90">
        <f t="shared" si="0"/>
        <v>52</v>
      </c>
      <c r="C61" s="102"/>
      <c r="D61" s="103"/>
      <c r="E61" s="93" t="s">
        <v>337</v>
      </c>
      <c r="F61" s="94" t="s">
        <v>31</v>
      </c>
      <c r="G61" s="93" t="s">
        <v>338</v>
      </c>
      <c r="H61" s="94" t="s">
        <v>31</v>
      </c>
      <c r="I61" s="94" t="s">
        <v>31</v>
      </c>
      <c r="J61" s="94" t="s">
        <v>31</v>
      </c>
      <c r="K61" s="94" t="s">
        <v>31</v>
      </c>
      <c r="L61" s="94">
        <v>4</v>
      </c>
      <c r="M61" s="95">
        <f t="shared" si="1"/>
        <v>20000</v>
      </c>
      <c r="N61" s="104">
        <v>20050</v>
      </c>
      <c r="O61" s="96" t="s">
        <v>303</v>
      </c>
      <c r="P61" s="97">
        <v>1.44E-2</v>
      </c>
      <c r="Q61" s="97">
        <f t="shared" si="24"/>
        <v>288.71999999999997</v>
      </c>
      <c r="R61" s="94"/>
      <c r="S61" s="98"/>
    </row>
    <row r="62" spans="1:19" ht="19.5" thickBot="1">
      <c r="A62" s="2"/>
      <c r="B62" s="41"/>
      <c r="C62" s="42"/>
      <c r="D62" s="43"/>
      <c r="E62" s="44"/>
      <c r="F62" s="45"/>
      <c r="G62" s="46"/>
      <c r="H62" s="45"/>
      <c r="I62" s="46"/>
      <c r="J62" s="45"/>
      <c r="K62" s="46"/>
      <c r="L62" s="46"/>
      <c r="M62" s="46"/>
      <c r="N62" s="74" t="s">
        <v>306</v>
      </c>
      <c r="O62" s="75"/>
      <c r="P62" s="75"/>
      <c r="Q62" s="63">
        <f>SUM(Q10:Q61)</f>
        <v>92629.773900000015</v>
      </c>
      <c r="R62" s="78"/>
      <c r="S62" s="79"/>
    </row>
    <row r="63" spans="1:19" ht="18.75">
      <c r="A63" s="2"/>
      <c r="B63" s="47"/>
      <c r="C63" s="48"/>
      <c r="D63" s="49"/>
      <c r="E63" s="50"/>
      <c r="F63" s="50"/>
      <c r="G63" s="50"/>
      <c r="H63" s="50"/>
      <c r="I63" s="50"/>
      <c r="J63" s="50"/>
      <c r="K63" s="50"/>
      <c r="L63" s="50"/>
      <c r="M63" s="50"/>
      <c r="N63" s="74" t="s">
        <v>307</v>
      </c>
      <c r="O63" s="75"/>
      <c r="P63" s="75"/>
      <c r="Q63" s="64">
        <f>Q62/5000</f>
        <v>18.525954780000003</v>
      </c>
      <c r="R63" s="80"/>
      <c r="S63" s="81"/>
    </row>
  </sheetData>
  <mergeCells count="7">
    <mergeCell ref="C59:C61"/>
    <mergeCell ref="D59:D61"/>
    <mergeCell ref="K1:S1"/>
    <mergeCell ref="N62:P62"/>
    <mergeCell ref="N63:P63"/>
    <mergeCell ref="S3:S8"/>
    <mergeCell ref="R62:S63"/>
  </mergeCells>
  <hyperlinks>
    <hyperlink ref="O56" r:id="rId1"/>
    <hyperlink ref="O58" r:id="rId2"/>
    <hyperlink ref="O12" r:id="rId3"/>
    <hyperlink ref="O15" r:id="rId4"/>
    <hyperlink ref="O10" r:id="rId5"/>
    <hyperlink ref="O11" r:id="rId6"/>
    <hyperlink ref="O14" r:id="rId7"/>
    <hyperlink ref="O13" r:id="rId8"/>
    <hyperlink ref="O18" r:id="rId9"/>
    <hyperlink ref="O23" r:id="rId10"/>
    <hyperlink ref="O22" r:id="rId11"/>
    <hyperlink ref="O24" r:id="rId12"/>
    <hyperlink ref="O17" r:id="rId13"/>
    <hyperlink ref="O19" r:id="rId14"/>
    <hyperlink ref="O21" r:id="rId15"/>
    <hyperlink ref="O26" r:id="rId16"/>
    <hyperlink ref="O27" r:id="rId17"/>
    <hyperlink ref="O25" r:id="rId18"/>
    <hyperlink ref="O20" r:id="rId19"/>
    <hyperlink ref="O28" r:id="rId20"/>
    <hyperlink ref="O29" r:id="rId21"/>
    <hyperlink ref="O30" r:id="rId22"/>
    <hyperlink ref="O31" r:id="rId23"/>
    <hyperlink ref="O33" r:id="rId24"/>
    <hyperlink ref="O32" r:id="rId25"/>
    <hyperlink ref="O36" r:id="rId26"/>
    <hyperlink ref="O40" r:id="rId27"/>
    <hyperlink ref="O34" r:id="rId28"/>
    <hyperlink ref="O35" r:id="rId29"/>
    <hyperlink ref="O37" r:id="rId30"/>
    <hyperlink ref="O39" r:id="rId31"/>
    <hyperlink ref="O38" r:id="rId32"/>
    <hyperlink ref="O42" r:id="rId33"/>
    <hyperlink ref="O41" r:id="rId34"/>
    <hyperlink ref="O46" r:id="rId35"/>
    <hyperlink ref="O48" r:id="rId36"/>
    <hyperlink ref="O49" r:id="rId37"/>
    <hyperlink ref="O50" r:id="rId38"/>
    <hyperlink ref="O51" r:id="rId39"/>
    <hyperlink ref="O47" r:id="rId40"/>
    <hyperlink ref="O45" r:id="rId41"/>
    <hyperlink ref="O43" r:id="rId42"/>
    <hyperlink ref="O44" r:id="rId43"/>
    <hyperlink ref="O52" r:id="rId44"/>
    <hyperlink ref="O53" r:id="rId45"/>
    <hyperlink ref="O54" r:id="rId46"/>
    <hyperlink ref="O55" r:id="rId47"/>
    <hyperlink ref="O57" r:id="rId48"/>
    <hyperlink ref="O16" r:id="rId49"/>
    <hyperlink ref="O59" r:id="rId50"/>
    <hyperlink ref="O60" r:id="rId51"/>
    <hyperlink ref="O61" r:id="rId52"/>
  </hyperlinks>
  <pageMargins left="0.7" right="0.7" top="0.75" bottom="0.75" header="0.3" footer="0.3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 Boards</vt:lpstr>
      <vt:lpstr>100 Boards</vt:lpstr>
      <vt:lpstr>500 Boards</vt:lpstr>
      <vt:lpstr>5000 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2024-05-09T14:20:21Z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EEAB8A7D7D2940BFB07E6BB57C23CEC4_12</vt:lpwstr>
  </property>
  <property fmtid="{D5CDD505-2E9C-101B-9397-08002B2CF9AE}" pid="3" name="KSOProductBuildVer">
    <vt:lpwstr>2057-12.2.0.16731</vt:lpwstr>
  </property>
</Properties>
</file>